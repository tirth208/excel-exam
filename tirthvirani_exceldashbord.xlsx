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b3abef2077b36/Documents/"/>
    </mc:Choice>
  </mc:AlternateContent>
  <xr:revisionPtr revIDLastSave="149" documentId="8_{CD331DD0-098A-4E67-A658-4FE6E600C807}" xr6:coauthVersionLast="47" xr6:coauthVersionMax="47" xr10:uidLastSave="{842BF728-3906-4B9C-8B18-EEA60E7EC673}"/>
  <bookViews>
    <workbookView minimized="1" xWindow="10668" yWindow="7680" windowWidth="9396" windowHeight="6000" activeTab="1" xr2:uid="{096EF009-9AB7-4E98-BF06-767F52872469}"/>
  </bookViews>
  <sheets>
    <sheet name="Sheet2" sheetId="3" r:id="rId1"/>
    <sheet name="Sheet3" sheetId="4" r:id="rId2"/>
    <sheet name="Mercedes_Stock" sheetId="1" r:id="rId3"/>
    <sheet name="Sheet1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M2" i="1"/>
  <c r="J2" i="1"/>
  <c r="S8" i="4"/>
  <c r="K8" i="4"/>
  <c r="C8" i="4"/>
</calcChain>
</file>

<file path=xl/sharedStrings.xml><?xml version="1.0" encoding="utf-8"?>
<sst xmlns="http://schemas.openxmlformats.org/spreadsheetml/2006/main" count="70" uniqueCount="36">
  <si>
    <t>Date</t>
  </si>
  <si>
    <t>Open</t>
  </si>
  <si>
    <t>High</t>
  </si>
  <si>
    <t>Low</t>
  </si>
  <si>
    <t>Close</t>
  </si>
  <si>
    <t>Adj Close</t>
  </si>
  <si>
    <t>Volume</t>
  </si>
  <si>
    <t>Column1</t>
  </si>
  <si>
    <t>Row Labels</t>
  </si>
  <si>
    <t>Grand Total</t>
  </si>
  <si>
    <t>1996</t>
  </si>
  <si>
    <t>1997</t>
  </si>
  <si>
    <t>1998</t>
  </si>
  <si>
    <t>1999</t>
  </si>
  <si>
    <t>Sum of High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</si>
  <si>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</si>
  <si>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</si>
  <si>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</si>
  <si>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</si>
  <si>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</si>
  <si>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</si>
  <si>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</si>
  <si>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</si>
  <si>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</si>
  <si>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</si>
  <si>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</si>
  <si>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</si>
  <si>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Volume</t>
  </si>
  <si>
    <t>Sum of Close</t>
  </si>
  <si>
    <t>Sum of Open</t>
  </si>
  <si>
    <t>vlookup</t>
  </si>
  <si>
    <t>date</t>
  </si>
  <si>
    <t xml:space="preserve">index </t>
  </si>
  <si>
    <t>nested function</t>
  </si>
  <si>
    <t>śśśśSSSSSSS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</si>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</sst>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33" borderId="10" xfId="0" applyFont="1" applyFill="1" applyBorder="1"/>
    <xf numFmtId="0" fontId="0" fillId="34" borderId="11" xfId="0" applyFill="1" applyBorder="1"/>
    <xf numFmtId="0" fontId="0" fillId="35" borderId="11" xfId="0" applyFill="1" applyBorder="1"/>
    <xf numFmtId="0" fontId="0" fillId="0" borderId="0" xfId="0" applyAlignment="1">
      <alignment horizontal="center"/>
    </xf>
    <xf numFmtId="0" fontId="0" fillId="36" borderId="0" xfId="0" applyFill="1"/>
    <xf numFmtId="1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0" fontId="0" fillId="35" borderId="12" xfId="0" applyFill="1" applyBorder="1"/>
    <xf numFmtId="9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42" applyFont="1"/>
    <xf numFmtId="0" fontId="1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dd/mm/yyyy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[tirthvirani_exceldashbord.xlsx.xlsx]Sheet2!PivotTable1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16-4CC5-9A5D-0FCDB19223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16-4CC5-9A5D-0FCDB19223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16-4CC5-9A5D-0FCDB19223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16-4CC5-9A5D-0FCDB1922315}"/>
              </c:ext>
            </c:extLst>
          </c:dPt>
          <c:cat>
            <c:strRef>
              <c:f>Sheet2!$A$4:$A$8</c:f>
              <c:strCache>
                <c:ptCount val="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1899.1048479999999</c:v>
                </c:pt>
                <c:pt idx="1">
                  <c:v>14678.747925000007</c:v>
                </c:pt>
                <c:pt idx="2">
                  <c:v>17928.692760999995</c:v>
                </c:pt>
                <c:pt idx="3">
                  <c:v>17515.991251999993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16-4CC5-9A5D-0FCDB1922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[tirthvirani_exceldashbord.xlsx.xlsx]Sheet2!PivotTable2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Sheet2!$D$4:$D$16</c:f>
              <c:strCache>
                <c:ptCount val="12"/>
                <c:pt idx="0">
                  <c:v>Nov</c:v>
                </c:pt>
                <c:pt idx="1">
                  <c:v>Sep</c:v>
                </c:pt>
                <c:pt idx="2">
                  <c:v>Oct</c:v>
                </c:pt>
                <c:pt idx="3">
                  <c:v>Dec</c:v>
                </c:pt>
                <c:pt idx="4">
                  <c:v>May</c:v>
                </c:pt>
                <c:pt idx="5">
                  <c:v>Jul</c:v>
                </c:pt>
                <c:pt idx="6">
                  <c:v>Aug</c:v>
                </c:pt>
                <c:pt idx="7">
                  <c:v>Mar</c:v>
                </c:pt>
                <c:pt idx="8">
                  <c:v>Apr</c:v>
                </c:pt>
                <c:pt idx="9">
                  <c:v>Jun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Sheet2!$E$4:$E$16</c:f>
              <c:numCache>
                <c:formatCode>General</c:formatCode>
                <c:ptCount val="12"/>
                <c:pt idx="0">
                  <c:v>298169517</c:v>
                </c:pt>
                <c:pt idx="1">
                  <c:v>264093376</c:v>
                </c:pt>
                <c:pt idx="2">
                  <c:v>260309424</c:v>
                </c:pt>
                <c:pt idx="3">
                  <c:v>248453446</c:v>
                </c:pt>
                <c:pt idx="4">
                  <c:v>211567147</c:v>
                </c:pt>
                <c:pt idx="5">
                  <c:v>203409114</c:v>
                </c:pt>
                <c:pt idx="6">
                  <c:v>184266200</c:v>
                </c:pt>
                <c:pt idx="7">
                  <c:v>176675438</c:v>
                </c:pt>
                <c:pt idx="8">
                  <c:v>171548442</c:v>
                </c:pt>
                <c:pt idx="9">
                  <c:v>163889751</c:v>
                </c:pt>
                <c:pt idx="10">
                  <c:v>151450688</c:v>
                </c:pt>
                <c:pt idx="11">
                  <c:v>118465568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3-4DCD-B320-654E4477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2802047"/>
        <c:axId val="842799647"/>
        <c:axId val="0"/>
      </c:bar3DChart>
      <c:catAx>
        <c:axId val="8428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99647"/>
        <c:crosses val="autoZero"/>
        <c:auto val="1"/>
        <c:lblAlgn val="ctr"/>
        <c:lblOffset val="100"/>
        <c:noMultiLvlLbl val="0"/>
      </c:catAx>
      <c:valAx>
        <c:axId val="84279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80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[tirthvirani_exceldashbord.xlsx.xlsx]Sheet2!PivotTable4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6811594970288484E-2"/>
              <c:y val="-8.74603021566775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4.8033128486538526E-3"/>
              <c:y val="0.14730156152703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6066256973077052E-3"/>
              <c:y val="-8.28571283589576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83644133519242E-2"/>
              <c:y val="-9.66666497521173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4409938545961558E-2"/>
              <c:y val="4.60317379771987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0"/>
              <c:y val="6.44444331680781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238097759519308E-2"/>
              <c:y val="-0.124285692538436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4016564243269263E-2"/>
              <c:y val="-0.101269823549837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8033128486538616E-2"/>
              <c:y val="-0.17492060431335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1656318427115585E-2"/>
              <c:y val="8.285712835895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0"/>
              <c:y val="0.105872997347557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6811594970288484E-2"/>
              <c:y val="-9.20634759543974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575447439623956E-2"/>
          <c:y val="7.275785861075984E-2"/>
          <c:w val="0.94716355866480761"/>
          <c:h val="0.84294768402365239"/>
        </c:manualLayout>
      </c:layout>
      <c:lineChart>
        <c:grouping val="standar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FD-467E-8F6F-298297D7B2A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1FD-467E-8F6F-298297D7B2A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FD-467E-8F6F-298297D7B2A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FD-467E-8F6F-298297D7B2A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FD-467E-8F6F-298297D7B2A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FD-467E-8F6F-298297D7B2A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FD-467E-8F6F-298297D7B2A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1FD-467E-8F6F-298297D7B2A3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21FD-467E-8F6F-298297D7B2A3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FD-467E-8F6F-298297D7B2A3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FD-467E-8F6F-298297D7B2A3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21FD-467E-8F6F-298297D7B2A3}"/>
              </c:ext>
            </c:extLst>
          </c:dPt>
          <c:dLbls>
            <c:dLbl>
              <c:idx val="0"/>
              <c:layout>
                <c:manualLayout>
                  <c:x val="-1.6811594970288484E-2"/>
                  <c:y val="-9.2063475954397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FD-467E-8F6F-298297D7B2A3}"/>
                </c:ext>
              </c:extLst>
            </c:dLbl>
            <c:dLbl>
              <c:idx val="1"/>
              <c:layout>
                <c:manualLayout>
                  <c:x val="-1.6811594970288484E-2"/>
                  <c:y val="-8.7460302156677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FD-467E-8F6F-298297D7B2A3}"/>
                </c:ext>
              </c:extLst>
            </c:dLbl>
            <c:dLbl>
              <c:idx val="2"/>
              <c:layout>
                <c:manualLayout>
                  <c:x val="-5.283644133519242E-2"/>
                  <c:y val="-9.6666649752117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FD-467E-8F6F-298297D7B2A3}"/>
                </c:ext>
              </c:extLst>
            </c:dLbl>
            <c:dLbl>
              <c:idx val="3"/>
              <c:layout>
                <c:manualLayout>
                  <c:x val="-9.6066256973077052E-3"/>
                  <c:y val="-8.2857128358957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FD-467E-8F6F-298297D7B2A3}"/>
                </c:ext>
              </c:extLst>
            </c:dLbl>
            <c:dLbl>
              <c:idx val="4"/>
              <c:layout>
                <c:manualLayout>
                  <c:x val="0"/>
                  <c:y val="0.105872997347557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FD-467E-8F6F-298297D7B2A3}"/>
                </c:ext>
              </c:extLst>
            </c:dLbl>
            <c:dLbl>
              <c:idx val="5"/>
              <c:layout>
                <c:manualLayout>
                  <c:x val="4.8033128486538526E-3"/>
                  <c:y val="0.147301561527035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FD-467E-8F6F-298297D7B2A3}"/>
                </c:ext>
              </c:extLst>
            </c:dLbl>
            <c:dLbl>
              <c:idx val="6"/>
              <c:layout>
                <c:manualLayout>
                  <c:x val="1.4409938545961558E-2"/>
                  <c:y val="4.6031737977198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FD-467E-8F6F-298297D7B2A3}"/>
                </c:ext>
              </c:extLst>
            </c:dLbl>
            <c:dLbl>
              <c:idx val="7"/>
              <c:layout>
                <c:manualLayout>
                  <c:x val="-2.4016564243269263E-2"/>
                  <c:y val="-0.101269823549837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FD-467E-8F6F-298297D7B2A3}"/>
                </c:ext>
              </c:extLst>
            </c:dLbl>
            <c:dLbl>
              <c:idx val="8"/>
              <c:layout>
                <c:manualLayout>
                  <c:x val="-8.1656318427115585E-2"/>
                  <c:y val="8.285712835895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FD-467E-8F6F-298297D7B2A3}"/>
                </c:ext>
              </c:extLst>
            </c:dLbl>
            <c:dLbl>
              <c:idx val="9"/>
              <c:layout>
                <c:manualLayout>
                  <c:x val="-5.5238097759519308E-2"/>
                  <c:y val="-0.124285692538436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FD-467E-8F6F-298297D7B2A3}"/>
                </c:ext>
              </c:extLst>
            </c:dLbl>
            <c:dLbl>
              <c:idx val="10"/>
              <c:layout>
                <c:manualLayout>
                  <c:x val="-4.8033128486538616E-2"/>
                  <c:y val="-0.1749206043133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1FD-467E-8F6F-298297D7B2A3}"/>
                </c:ext>
              </c:extLst>
            </c:dLbl>
            <c:dLbl>
              <c:idx val="11"/>
              <c:layout>
                <c:manualLayout>
                  <c:x val="0"/>
                  <c:y val="6.4444433168078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FD-467E-8F6F-298297D7B2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Sheet2!$J$4:$J$16</c:f>
              <c:strCache>
                <c:ptCount val="12"/>
                <c:pt idx="0">
                  <c:v>Dec</c:v>
                </c:pt>
                <c:pt idx="1">
                  <c:v>Jul</c:v>
                </c:pt>
                <c:pt idx="2">
                  <c:v>Apr</c:v>
                </c:pt>
                <c:pt idx="3">
                  <c:v>May</c:v>
                </c:pt>
                <c:pt idx="4">
                  <c:v>Nov</c:v>
                </c:pt>
                <c:pt idx="5">
                  <c:v>Jun</c:v>
                </c:pt>
                <c:pt idx="6">
                  <c:v>Mar</c:v>
                </c:pt>
                <c:pt idx="7">
                  <c:v>Aug</c:v>
                </c:pt>
                <c:pt idx="8">
                  <c:v>Sep</c:v>
                </c:pt>
                <c:pt idx="9">
                  <c:v>Jan</c:v>
                </c:pt>
                <c:pt idx="10">
                  <c:v>Oct</c:v>
                </c:pt>
                <c:pt idx="11">
                  <c:v>Feb</c:v>
                </c:pt>
              </c:strCache>
            </c:strRef>
          </c:cat>
          <c:val>
            <c:numRef>
              <c:f>Sheet2!$K$4:$K$16</c:f>
              <c:numCache>
                <c:formatCode>0%</c:formatCode>
                <c:ptCount val="12"/>
                <c:pt idx="0">
                  <c:v>5017.9732649999996</c:v>
                </c:pt>
                <c:pt idx="1">
                  <c:v>4772.1774450000012</c:v>
                </c:pt>
                <c:pt idx="2">
                  <c:v>4562.78604</c:v>
                </c:pt>
                <c:pt idx="3">
                  <c:v>4503.5826830000015</c:v>
                </c:pt>
                <c:pt idx="4">
                  <c:v>4411.4057569999986</c:v>
                </c:pt>
                <c:pt idx="5">
                  <c:v>4404.7391899999984</c:v>
                </c:pt>
                <c:pt idx="6">
                  <c:v>4277.5199139999986</c:v>
                </c:pt>
                <c:pt idx="7">
                  <c:v>4168.611601999999</c:v>
                </c:pt>
                <c:pt idx="8">
                  <c:v>3998.4616919999999</c:v>
                </c:pt>
                <c:pt idx="9">
                  <c:v>3839.2466789999985</c:v>
                </c:pt>
                <c:pt idx="10">
                  <c:v>3770.948742</c:v>
                </c:pt>
                <c:pt idx="11">
                  <c:v>3619.1267249999983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D-467E-8F6F-298297D7B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230191"/>
        <c:axId val="841223951"/>
      </c:lineChart>
      <c:catAx>
        <c:axId val="84123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23951"/>
        <c:crosses val="autoZero"/>
        <c:auto val="1"/>
        <c:lblAlgn val="ctr"/>
        <c:lblOffset val="100"/>
        <c:noMultiLvlLbl val="0"/>
      </c:catAx>
      <c:valAx>
        <c:axId val="8412239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4123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[tirthvirani_exceldashbord.xlsx.xlsx]Sheet2!PivotTable3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10509704377406"/>
          <c:y val="5.1017106739339756E-2"/>
          <c:w val="0.53309533902960116"/>
          <c:h val="0.90788094848985434"/>
        </c:manualLayout>
      </c:layout>
      <c:radarChart>
        <c:radarStyle val="marker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Sheet2!$H$4:$H$16</c:f>
              <c:numCache>
                <c:formatCode>General</c:formatCode>
                <c:ptCount val="12"/>
                <c:pt idx="0">
                  <c:v>3844.0303980000008</c:v>
                </c:pt>
                <c:pt idx="1">
                  <c:v>3620.2249829999973</c:v>
                </c:pt>
                <c:pt idx="2">
                  <c:v>4265.4406609999996</c:v>
                </c:pt>
                <c:pt idx="3">
                  <c:v>4563.5244099999991</c:v>
                </c:pt>
                <c:pt idx="4">
                  <c:v>4505.8562280000015</c:v>
                </c:pt>
                <c:pt idx="5">
                  <c:v>4398.7303399999992</c:v>
                </c:pt>
                <c:pt idx="6">
                  <c:v>4764.4212479999997</c:v>
                </c:pt>
                <c:pt idx="7">
                  <c:v>4149.3674229999997</c:v>
                </c:pt>
                <c:pt idx="8">
                  <c:v>3984.5651750000002</c:v>
                </c:pt>
                <c:pt idx="9">
                  <c:v>3752.5818260000005</c:v>
                </c:pt>
                <c:pt idx="10">
                  <c:v>4423.1266040000019</c:v>
                </c:pt>
                <c:pt idx="11">
                  <c:v>5024.1565490000003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1-4B43-88F4-52F70EE8D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25056"/>
        <c:axId val="1251388848"/>
      </c:radarChart>
      <c:catAx>
        <c:axId val="5168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88848"/>
        <c:crosses val="autoZero"/>
        <c:auto val="1"/>
        <c:lblAlgn val="ctr"/>
        <c:lblOffset val="100"/>
        <c:noMultiLvlLbl val="0"/>
      </c:catAx>
      <c:valAx>
        <c:axId val="12513888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682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70337</xdr:colOff>
      <xdr:row>11</xdr:row>
      <xdr:rowOff>35168</xdr:rowOff>
    </xdr:from>
    <xdr:to>
      <xdr:col>14</xdr:col>
      <xdr:colOff>11723</xdr:colOff>
      <xdr:row>31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B8FA9-BD5C-48EB-9DCA-443CB53A0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175847</xdr:colOff>
      <xdr:row>31</xdr:row>
      <xdr:rowOff>93785</xdr:rowOff>
    </xdr:from>
    <xdr:to>
      <xdr:col>16</xdr:col>
      <xdr:colOff>515816</xdr:colOff>
      <xdr:row>48</xdr:row>
      <xdr:rowOff>164123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EF981-3EF0-448D-BDD5-A47F34A5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23446</xdr:colOff>
      <xdr:row>11</xdr:row>
      <xdr:rowOff>93784</xdr:rowOff>
    </xdr:from>
    <xdr:to>
      <xdr:col>27</xdr:col>
      <xdr:colOff>199292</xdr:colOff>
      <xdr:row>31</xdr:row>
      <xdr:rowOff>23446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164EB1-E27D-4B5D-90EC-29CEA1318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527540</xdr:colOff>
      <xdr:row>31</xdr:row>
      <xdr:rowOff>93784</xdr:rowOff>
    </xdr:from>
    <xdr:to>
      <xdr:col>27</xdr:col>
      <xdr:colOff>11724</xdr:colOff>
      <xdr:row>49</xdr:row>
      <xdr:rowOff>46893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BE8DC1-82B7-4527-B73A-F08BEC4FE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8</xdr:col>
      <xdr:colOff>293078</xdr:colOff>
      <xdr:row>1</xdr:row>
      <xdr:rowOff>5939</xdr:rowOff>
    </xdr:from>
    <xdr:ext cx="6623538" cy="814678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510999F-6560-E908-C961-82B260CAC98D}"/>
            </a:ext>
          </a:extLst>
        </xdr:cNvPr>
        <xdr:cNvSpPr/>
      </xdr:nvSpPr>
      <xdr:spPr>
        <a:xfrm>
          <a:off x="5169878" y="193508"/>
          <a:ext cx="6623538" cy="81467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data</a:t>
          </a:r>
          <a:r>
            <a:rPr lang="en-US" sz="54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base</a:t>
          </a:r>
          <a:endParaRPr lang="en-U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oneCellAnchor>
    <xdr:from>
      <xdr:col>2</xdr:col>
      <xdr:colOff>83192</xdr:colOff>
      <xdr:row>6</xdr:row>
      <xdr:rowOff>170061</xdr:rowOff>
    </xdr:from>
    <xdr:ext cx="2400977" cy="345755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7D8C178-57DF-C66B-BA44-B428E3845580}"/>
            </a:ext>
          </a:extLst>
        </xdr:cNvPr>
        <xdr:cNvSpPr/>
      </xdr:nvSpPr>
      <xdr:spPr>
        <a:xfrm>
          <a:off x="1302392" y="1295476"/>
          <a:ext cx="2400977" cy="34575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Highest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Year Revenue</a:t>
          </a:r>
        </a:p>
        <a:p>
          <a:pPr algn="ctr"/>
          <a:endParaRPr lang="en-US" sz="20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83192</xdr:colOff>
      <xdr:row>6</xdr:row>
      <xdr:rowOff>170061</xdr:rowOff>
    </xdr:from>
    <xdr:ext cx="2400977" cy="345755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604AA28-C58B-4071-80E9-7AF7CB8AC8BF}"/>
            </a:ext>
          </a:extLst>
        </xdr:cNvPr>
        <xdr:cNvSpPr/>
      </xdr:nvSpPr>
      <xdr:spPr>
        <a:xfrm>
          <a:off x="1302392" y="1295476"/>
          <a:ext cx="2400977" cy="34575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Highest Month</a:t>
          </a:r>
        </a:p>
        <a:p>
          <a:pPr algn="ctr"/>
          <a:endParaRPr lang="en-US" sz="20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281191</xdr:colOff>
      <xdr:row>6</xdr:row>
      <xdr:rowOff>128953</xdr:rowOff>
    </xdr:from>
    <xdr:ext cx="4490268" cy="23446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F0C423F-B7F6-5D8A-837B-023FDCD20797}"/>
            </a:ext>
          </a:extLst>
        </xdr:cNvPr>
        <xdr:cNvSpPr/>
      </xdr:nvSpPr>
      <xdr:spPr>
        <a:xfrm>
          <a:off x="10034791" y="1254368"/>
          <a:ext cx="4490268" cy="23446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highest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average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88.89141921296" createdVersion="8" refreshedVersion="8" minRefreshableVersion="3" recordCount="828" xr:uid="{BF0FB222-2B22-4EF2-93A0-A46E4B134976}">
  <cacheSource type="worksheet">
    <worksheetSource name="Table2"/>
  </cacheSource>
  <cacheFields count="10">
    <cacheField name="Date" numFmtId="14">
      <sharedItems containsSemiMixedTypes="0" containsNonDate="0" containsDate="1" containsString="0" minDate="1996-10-30T00:00:00" maxDate="2000-01-01T00:00:00" count="828"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5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3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7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6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5T00:00:00"/>
        <d v="1998-12-28T00:00:00"/>
        <d v="1998-12-29T00:00:00"/>
        <d v="1998-12-30T00:00:00"/>
        <d v="1998-12-31T00:00:00"/>
        <d v="1999-01-0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8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5T00:00:00"/>
        <d v="1999-02-16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1T00:00:00"/>
        <d v="1999-04-02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5-31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5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6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5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4T00:00:00"/>
        <d v="1999-12-27T00:00:00"/>
        <d v="1999-12-28T00:00:00"/>
        <d v="1999-12-29T00:00:00"/>
        <d v="1999-12-30T00:00:00"/>
        <d v="1999-12-31T00:00:00"/>
      </sharedItems>
      <fieldGroup par="9"/>
    </cacheField>
    <cacheField name="Open" numFmtId="0">
      <sharedItems containsSemiMixedTypes="0" containsString="0" containsNumber="1" minValue="37.635983000000003" maxValue="85.521102999999997"/>
    </cacheField>
    <cacheField name="High" numFmtId="0">
      <sharedItems containsSemiMixedTypes="0" containsString="0" containsNumber="1" minValue="37.878436999999998" maxValue="92.282379000000006" count="682">
        <n v="37.878436999999998"/>
        <n v="38.057022000000003"/>
        <n v="38.614123999999997"/>
        <n v="38.609881999999999"/>
        <n v="39.251990999999997"/>
        <n v="39.855922999999997"/>
        <n v="39.889941999999998"/>
        <n v="40.060035999999997"/>
        <n v="39.974949000000002"/>
        <n v="40.880802000000003"/>
        <n v="40.868076000000002"/>
        <n v="41.714291000000003"/>
        <n v="41.569740000000003"/>
        <n v="41.331612"/>
        <n v="41.676037000000001"/>
        <n v="41.420856000000001"/>
        <n v="41.505943000000002"/>
        <n v="42.233142999999998"/>
        <n v="42.845551"/>
        <n v="42.356490999999998"/>
        <n v="42.59037"/>
        <n v="43.036850000000001"/>
        <n v="43.462131999999997"/>
        <n v="44.844237999999997"/>
        <n v="44.546562000000002"/>
        <n v="44.716647999999999"/>
        <n v="42.951847000000001"/>
        <n v="43.547218000000001"/>
        <n v="44.142586000000001"/>
        <n v="43.292037999999998"/>
        <n v="42.909351000000001"/>
        <n v="42.292693999999997"/>
        <n v="43.589714000000001"/>
        <n v="43.100655000000003"/>
        <n v="42.781761000000003"/>
        <n v="43.270736999999997"/>
        <n v="43.908695000000002"/>
        <n v="43.653519000000003"/>
        <n v="44.227673000000003"/>
        <n v="45.248309999999996"/>
        <n v="45.141930000000002"/>
        <n v="44.567855999999999"/>
        <n v="45.078125"/>
        <n v="46.481541"/>
        <n v="46.736721000000003"/>
        <n v="47.183193000000003"/>
        <n v="47.459674999999997"/>
        <n v="47.672272"/>
        <n v="49.054386000000001"/>
        <n v="50.883063999999997"/>
        <n v="51.010646999999999"/>
        <n v="49.649742000000003"/>
        <n v="50.372706999999998"/>
        <n v="50.308909999999997"/>
        <n v="48.671692"/>
        <n v="49.394652999999998"/>
        <n v="49.798625999999999"/>
        <n v="49.033175999999997"/>
        <n v="48.650398000000003"/>
        <n v="49.500950000000003"/>
        <n v="49.24577"/>
        <n v="49.181975999999999"/>
        <n v="49.862426999999997"/>
        <n v="50.797969999999999"/>
        <n v="52.009990999999999"/>
        <n v="51.818615000000001"/>
        <n v="51.712318000000003"/>
        <n v="52.328975999999997"/>
        <n v="52.626658999999997"/>
        <n v="52.477767999999998"/>
        <n v="53.179436000000003"/>
        <n v="53.477195999999999"/>
        <n v="52.520279000000002"/>
        <n v="52.903038000000002"/>
        <n v="52.031283999999999"/>
        <n v="52.435271999999998"/>
        <n v="52.243881000000002"/>
        <n v="52.456566000000002"/>
        <n v="52.690444999999997"/>
        <n v="55.071911"/>
        <n v="55.624775"/>
        <n v="56.390231999999997"/>
        <n v="56.283935999999997"/>
        <n v="56.517814999999999"/>
        <n v="56.858006000000003"/>
        <n v="56.198849000000003"/>
        <n v="54.561549999999997"/>
        <n v="56.092548000000001"/>
        <n v="55.114407"/>
        <n v="54.178863999999997"/>
        <n v="53.838673"/>
        <n v="54.348956999999999"/>
        <n v="54.731720000000003"/>
        <n v="55.390887999999997"/>
        <n v="57.836136000000003"/>
        <n v="58.77169"/>
        <n v="56.539116"/>
        <n v="54.986823999999999"/>
        <n v="54.540332999999997"/>
        <n v="53.243232999999996"/>
        <n v="52.924332"/>
        <n v="55.263289999999998"/>
        <n v="55.943741000000003"/>
        <n v="55.645977000000002"/>
        <n v="58.601601000000002"/>
        <n v="57.921230000000001"/>
        <n v="59.239547999999999"/>
        <n v="57.410862000000002"/>
        <n v="56.560326000000003"/>
        <n v="55.029411000000003"/>
        <n v="55.560982000000003"/>
        <n v="54.838017000000001"/>
        <n v="54.306454000000002"/>
        <n v="54.47654"/>
        <n v="54.859318000000002"/>
        <n v="57.240775999999997"/>
        <n v="58.792976000000003"/>
        <n v="57.283279"/>
        <n v="57.623539000000001"/>
        <n v="58.133823"/>
        <n v="58.410206000000002"/>
        <n v="57.474654999999998"/>
        <n v="57.304564999999997"/>
        <n v="57.495956"/>
        <n v="56.602825000000003"/>
        <n v="57.176983"/>
        <n v="56.432727999999997"/>
        <n v="56.794204999999998"/>
        <n v="57.198264999999999"/>
        <n v="58.091312000000002"/>
        <n v="57.793633"/>
        <n v="57.772345999999999"/>
        <n v="58.389004"/>
        <n v="58.4953"/>
        <n v="57.666049999999998"/>
        <n v="57.687252000000001"/>
        <n v="58.346420000000002"/>
        <n v="58.856777000000001"/>
        <n v="59.026871"/>
        <n v="58.218910000000001"/>
        <n v="58.452801000000001"/>
        <n v="58.155109000000003"/>
        <n v="58.261406000000001"/>
        <n v="60.068801999999998"/>
        <n v="61.280822999999998"/>
        <n v="60.664158"/>
        <n v="60.494076"/>
        <n v="60.876755000000003"/>
        <n v="62.195072000000003"/>
        <n v="62.386467000000003"/>
        <n v="62.088776000000003"/>
        <n v="62.854239999999997"/>
        <n v="62.641646999999999"/>
        <n v="61.812385999999996"/>
        <n v="63.577193999999999"/>
        <n v="64.108849000000006"/>
        <n v="65.427170000000004"/>
        <n v="66.001244"/>
        <n v="64.767914000000005"/>
        <n v="64.130050999999995"/>
        <n v="64.172561999999999"/>
        <n v="65.065680999999998"/>
        <n v="64.895515000000003"/>
        <n v="64.385231000000005"/>
        <n v="66.043739000000002"/>
        <n v="66.851776000000001"/>
        <n v="68.085014000000001"/>
        <n v="66.809189000000003"/>
        <n v="65.490951999999993"/>
        <n v="63.704777"/>
        <n v="64.002464000000003"/>
        <n v="63.534694999999999"/>
        <n v="63.237003000000001"/>
        <n v="63.024405999999999"/>
        <n v="63.619781000000003"/>
        <n v="62.450252999999996"/>
        <n v="61.238239"/>
        <n v="58.240124000000002"/>
        <n v="61.110649000000002"/>
        <n v="62.046280000000003"/>
        <n v="62.15258"/>
        <n v="60.260185"/>
        <n v="59.260750000000002"/>
        <n v="58.580379000000001"/>
        <n v="58.814278000000002"/>
        <n v="56.900500999999998"/>
        <n v="59.090668000000001"/>
        <n v="61.025635000000001"/>
        <n v="59.196956999999998"/>
        <n v="59.728523000000003"/>
        <n v="60.005009000000001"/>
        <n v="59.877406999999998"/>
        <n v="60.387695000000001"/>
        <n v="57.070686000000002"/>
        <n v="55.667278000000003"/>
        <n v="57.644756000000001"/>
        <n v="59.515929999999997"/>
        <n v="59.962505"/>
        <n v="61.578505999999997"/>
        <n v="61.876182999999997"/>
        <n v="61.089432000000002"/>
        <n v="61.195728000000003"/>
        <n v="62.492764000000001"/>
        <n v="62.939326999999999"/>
        <n v="61.642302999999998"/>
        <n v="60.940548"/>
        <n v="58.474003000000003"/>
        <n v="58.686680000000003"/>
        <n v="57.389575999999998"/>
        <n v="56.687904000000003"/>
        <n v="57.580952000000003"/>
        <n v="56.347729000000001"/>
        <n v="55.816158000000001"/>
        <n v="54.008761999999997"/>
        <n v="49.288272999999997"/>
        <n v="51.542225000000002"/>
        <n v="50.393996999999999"/>
        <n v="51.244534000000002"/>
        <n v="51.776111999999998"/>
        <n v="51.201957999999998"/>
        <n v="50.160110000000003"/>
        <n v="48.480311999999998"/>
        <n v="47.884940999999998"/>
        <n v="47.523471999999998"/>
        <n v="47.374588000000003"/>
        <n v="48.799205999999998"/>
        <n v="49.926223999999998"/>
        <n v="50.053814000000003"/>
        <n v="50.606594000000001"/>
        <n v="50.734183999999999"/>
        <n v="51.159453999999997"/>
        <n v="51.669815"/>
        <n v="51.031863999999999"/>
        <n v="50.245113000000003"/>
        <n v="52.775458999999998"/>
        <n v="53.817386999999997"/>
        <n v="53.392116999999999"/>
        <n v="55.837359999999997"/>
        <n v="54.880527000000001"/>
        <n v="54.646633000000001"/>
        <n v="54.81673"/>
        <n v="54.327655999999998"/>
        <n v="52.605358000000003"/>
        <n v="52.562862000000003"/>
        <n v="53.583492"/>
        <n v="54.391460000000002"/>
        <n v="53.753585999999999"/>
        <n v="51.754821999999997"/>
        <n v="51.797398000000001"/>
        <n v="53.136929000000002"/>
        <n v="54.200156999999997"/>
        <n v="56.028754999999997"/>
        <n v="57.325867000000002"/>
        <n v="56.985596000000001"/>
        <n v="54.774231"/>
        <n v="52.265171000000002"/>
        <n v="52.860545999999999"/>
        <n v="52.350185000000003"/>
        <n v="53.370815"/>
        <n v="53.328311999999997"/>
        <n v="51.584721000000002"/>
        <n v="51.265754999999999"/>
        <n v="53.115726000000002"/>
        <n v="54.115062999999999"/>
        <n v="54.752929999999999"/>
        <n v="56.730407999999997"/>
        <n v="55.922459000000003"/>
        <n v="55.156993999999997"/>
        <n v="55.794860999999997"/>
        <n v="56.177635000000002"/>
        <n v="57.602257000000002"/>
        <n v="57.985016000000002"/>
        <n v="57.368358999999998"/>
        <n v="59.303336999999999"/>
        <n v="61.49342"/>
        <n v="63.959964999999997"/>
        <n v="64.300139999999999"/>
        <n v="65.214493000000004"/>
        <n v="66.979377999999997"/>
        <n v="66.213836999999998"/>
        <n v="68.680381999999994"/>
        <n v="70.551567000000006"/>
        <n v="70.849236000000005"/>
        <n v="74.187629999999999"/>
        <n v="70.168869000000001"/>
        <n v="69.828613000000004"/>
        <n v="69.318320999999997"/>
        <n v="71.721085000000002"/>
        <n v="71.657287999999994"/>
        <n v="71.274512999999999"/>
        <n v="72.592833999999996"/>
        <n v="73.464668000000003"/>
        <n v="73.996239000000003"/>
        <n v="74.549109999999999"/>
        <n v="73.953734999999995"/>
        <n v="73.613479999999996"/>
        <n v="73.188202000000004"/>
        <n v="73.060699"/>
        <n v="73.443382"/>
        <n v="74.634101999999999"/>
        <n v="77.759818999999993"/>
        <n v="81.204505999999995"/>
        <n v="81.650986000000003"/>
        <n v="81.395882"/>
        <n v="81.502173999999997"/>
        <n v="80.609131000000005"/>
        <n v="84.202788999999996"/>
        <n v="84.03228"/>
        <n v="82.161345999999995"/>
        <n v="80.970618999999999"/>
        <n v="79.737296999999998"/>
        <n v="78.695457000000005"/>
        <n v="77.525931999999997"/>
        <n v="77.100655000000003"/>
        <n v="77.015656000000007"/>
        <n v="75.867431999999994"/>
        <n v="75.973724000000004"/>
        <n v="76.313903999999994"/>
        <n v="75.633529999999993"/>
        <n v="78.014999000000003"/>
        <n v="77.802406000000005"/>
        <n v="84.074698999999995"/>
        <n v="92.282379000000006"/>
        <n v="89.518485999999996"/>
        <n v="86.797004999999999"/>
        <n v="84.755065999999999"/>
        <n v="83.139481000000004"/>
        <n v="83.182236000000003"/>
        <n v="82.182631999999998"/>
        <n v="81.778571999999997"/>
        <n v="81.927452000000002"/>
        <n v="84.138740999999996"/>
        <n v="82.586617000000004"/>
        <n v="83.331115999999994"/>
        <n v="84.330048000000005"/>
        <n v="85.861289999999997"/>
        <n v="84.458129999999997"/>
        <n v="79.482201000000003"/>
        <n v="77.398337999999995"/>
        <n v="75.995009999999994"/>
        <n v="76.739182"/>
        <n v="75.824843999999999"/>
        <n v="76.866776000000002"/>
        <n v="78.270179999999996"/>
        <n v="78.036285000000007"/>
        <n v="77.568427999999997"/>
        <n v="77.079453000000001"/>
        <n v="75.697333999999998"/>
        <n v="72.295158000000001"/>
        <n v="73.485878"/>
        <n v="73.889938000000001"/>
        <n v="70.934334000000007"/>
        <n v="71.444610999999995"/>
        <n v="73.251998999999998"/>
        <n v="76.377707999999998"/>
        <n v="76.122528000000003"/>
        <n v="76.654182000000006"/>
        <n v="76.186317000000003"/>
        <n v="75.952431000000004"/>
        <n v="77.249534999999995"/>
        <n v="77.504722999999998"/>
        <n v="78.674149"/>
        <n v="77.696029999999993"/>
        <n v="75.676033000000004"/>
        <n v="75.335860999999994"/>
        <n v="76.973067999999998"/>
        <n v="75.059380000000004"/>
        <n v="74.995582999999996"/>
        <n v="74.315216000000007"/>
        <n v="74.102538999999993"/>
        <n v="75.761131000000006"/>
        <n v="78.652869999999993"/>
        <n v="80.311454999999995"/>
        <n v="80.268867"/>
        <n v="78.376480000000001"/>
        <n v="79.163230999999996"/>
        <n v="80.545333999999997"/>
        <n v="79.312027"/>
        <n v="75.484656999999999"/>
        <n v="74.612907000000007"/>
        <n v="77.143234000000007"/>
        <n v="78.078789"/>
        <n v="76.335205000000002"/>
        <n v="75.229477000000003"/>
        <n v="77.185744999999997"/>
        <n v="76.547798"/>
        <n v="77.334548999999996"/>
        <n v="78.248878000000005"/>
        <n v="76.760475"/>
        <n v="76.717963999999995"/>
        <n v="74.208832000000001"/>
        <n v="70.041290000000004"/>
        <n v="69.956192000000001"/>
        <n v="67.702324000000004"/>
        <n v="69.637298999999999"/>
        <n v="70.764244000000005"/>
        <n v="70.381461999999999"/>
        <n v="70.530349999999999"/>
        <n v="69.701012000000006"/>
        <n v="68.297691"/>
        <n v="66.341414999999998"/>
        <n v="67.510947999999999"/>
        <n v="67.191970999999995"/>
        <n v="66.639106999999996"/>
        <n v="65.894942999999998"/>
        <n v="63.747371999999999"/>
        <n v="65.320785999999998"/>
        <n v="63.045628000000001"/>
        <n v="63.109420999999998"/>
        <n v="61.663502000000001"/>
        <n v="60.557868999999997"/>
        <n v="58.367702000000001"/>
        <n v="53.455910000000003"/>
        <n v="52.881756000000003"/>
        <n v="47.629767999999999"/>
        <n v="53.881183999999998"/>
        <n v="56.326427000000002"/>
        <n v="54.157573999999997"/>
        <n v="54.944313000000001"/>
        <n v="57.091892000000001"/>
        <n v="61.217030000000001"/>
        <n v="59.707324999999997"/>
        <n v="58.941775999999997"/>
        <n v="58.984360000000002"/>
        <n v="56.220131000000002"/>
        <n v="55.497185000000002"/>
        <n v="57.751052999999999"/>
        <n v="58.835479999999997"/>
        <n v="60.175097999999998"/>
        <n v="61.748600000000003"/>
        <n v="60.621654999999997"/>
        <n v="66.128822"/>
        <n v="68.255195999999998"/>
        <n v="68.467788999999996"/>
        <n v="65.809844999999996"/>
        <n v="67.914917000000003"/>
        <n v="68.850548000000003"/>
        <n v="66.766684999999995"/>
        <n v="66.40522"/>
        <n v="64.427741999999995"/>
        <n v="63.343299999999999"/>
        <n v="64.534035000000003"/>
        <n v="65.193282999999994"/>
        <n v="65.682265999999998"/>
        <n v="66.277618000000004"/>
        <n v="65.278274999999994"/>
        <n v="65.235778999999994"/>
        <n v="66.107535999999996"/>
        <n v="66.660392999999999"/>
        <n v="68.042518999999999"/>
        <n v="67.106964000000005"/>
        <n v="71.402107000000001"/>
        <n v="70.891823000000002"/>
        <n v="69.530922000000004"/>
        <n v="73.817588999999998"/>
        <n v="73.776000999999994"/>
        <n v="77.269340999999997"/>
        <n v="77.768387000000004"/>
        <n v="77.976326"/>
        <n v="78.350609000000006"/>
        <n v="77.219436999999999"/>
        <n v="75.106796000000003"/>
        <n v="75.189971999999997"/>
        <n v="75.181656000000004"/>
        <n v="76.271240000000006"/>
        <n v="76.346100000000007"/>
        <n v="77.136261000000005"/>
        <n v="77.560447999999994"/>
        <n v="75.481078999999994"/>
        <n v="73.601333999999994"/>
        <n v="74.649338"/>
        <n v="75.664069999999995"/>
        <n v="76.021720999999999"/>
        <n v="76.770294000000007"/>
        <n v="77.169533000000001"/>
        <n v="76.562354999999997"/>
        <n v="75.597526999999999"/>
        <n v="75.855369999999994"/>
        <n v="74.241776000000002"/>
        <n v="74.02552"/>
        <n v="72.769585000000006"/>
        <n v="69.276245000000003"/>
        <n v="70.107994000000005"/>
        <n v="71.114410000000007"/>
        <n v="70.823295999999999"/>
        <n v="71.322342000000006"/>
        <n v="70.615356000000006"/>
        <n v="71.488692999999998"/>
        <n v="72.070914999999999"/>
        <n v="72.154090999999994"/>
        <n v="74.940444999999997"/>
        <n v="76.437591999999995"/>
        <n v="76.645531000000005"/>
        <n v="71.821395999999993"/>
        <n v="70.033134000000004"/>
        <n v="69.284560999999997"/>
        <n v="68.494408000000007"/>
        <n v="70.232758000000004"/>
        <n v="70.407425000000003"/>
        <n v="69.700439000000003"/>
        <n v="68.211608999999996"/>
        <n v="67.205192999999994"/>
        <n v="72.195678999999998"/>
        <n v="71.530281000000002"/>
        <n v="71.696631999999994"/>
        <n v="71.280761999999996"/>
        <n v="72.985839999999996"/>
        <n v="66.198775999999995"/>
        <n v="66.622971000000007"/>
        <n v="67.238463999999993"/>
        <n v="67.654342999999997"/>
        <n v="67.912177999999997"/>
        <n v="68.868690000000001"/>
        <n v="67.995354000000006"/>
        <n v="70.640311999999994"/>
        <n v="70.016502000000003"/>
        <n v="73.276955000000001"/>
        <n v="73.942352"/>
        <n v="76.479179000000002"/>
        <n v="75.605842999999993"/>
        <n v="75.64743"/>
        <n v="78.267432999999997"/>
        <n v="77.884833999999998"/>
        <n v="77.186165000000003"/>
        <n v="78.508644000000004"/>
        <n v="78.600136000000006"/>
        <n v="78.924515"/>
        <n v="79.515060000000005"/>
        <n v="79.673088000000007"/>
        <n v="77.851562000000001"/>
        <n v="78.059501999999995"/>
        <n v="77.918098000000001"/>
        <n v="78.849663000000007"/>
        <n v="77.518867"/>
        <n v="77.934737999999996"/>
        <n v="77.144576999999998"/>
        <n v="76.687118999999996"/>
        <n v="75.772193999999999"/>
        <n v="76.188064999999995"/>
        <n v="75.689018000000004"/>
        <n v="75.763878000000005"/>
        <n v="73.484886000000003"/>
        <n v="74.316635000000005"/>
        <n v="73.010795999999999"/>
        <n v="72.935935999999998"/>
        <n v="72.486794000000003"/>
        <n v="72.520058000000006"/>
        <n v="71.447104999999993"/>
        <n v="69.434280000000001"/>
        <n v="69.858467000000005"/>
        <n v="69.450912000000002"/>
        <n v="69.692122999999995"/>
        <n v="68.028625000000005"/>
        <n v="69.866791000000006"/>
        <n v="70.532188000000005"/>
        <n v="71.338982000000001"/>
        <n v="69.991546999999997"/>
        <n v="70.365836999999999"/>
        <n v="70.923102999999998"/>
        <n v="71.072823"/>
        <n v="71.679992999999996"/>
        <n v="72.362030000000004"/>
        <n v="72.528380999999996"/>
        <n v="71.838027999999994"/>
        <n v="71.829712000000001"/>
        <n v="71.363929999999996"/>
        <n v="71.646728999999993"/>
        <n v="71.305710000000005"/>
        <n v="70.981330999999997"/>
        <n v="72.977524000000003"/>
        <n v="72.653137000000001"/>
        <n v="73.593018000000001"/>
        <n v="74.624381999999997"/>
        <n v="74.682602000000003"/>
        <n v="74.566162000000006"/>
        <n v="74.341590999999994"/>
        <n v="73.692824999999999"/>
        <n v="73.235366999999997"/>
        <n v="71.222533999999996"/>
        <n v="68.827102999999994"/>
        <n v="67.313323999999994"/>
        <n v="66.248688000000001"/>
        <n v="67.097069000000005"/>
        <n v="66.664558"/>
        <n v="62.297885999999998"/>
        <n v="59.220421000000002"/>
        <n v="60.052166"/>
        <n v="60.093753999999997"/>
        <n v="59.137245"/>
        <n v="59.012481999999999"/>
        <n v="59.303592999999999"/>
        <n v="58.929310000000001"/>
        <n v="58.638195000000003"/>
        <n v="60.351596999999998"/>
        <n v="61.175026000000003"/>
        <n v="61.882010999999999"/>
        <n v="62.198073999999998"/>
        <n v="61.116802"/>
        <n v="59.844231000000001"/>
        <n v="60.501308000000002"/>
        <n v="61.050261999999996"/>
        <n v="61.532677"/>
        <n v="61.798836000000001"/>
        <n v="62.28125"/>
        <n v="61.407913000000001"/>
        <n v="60.592804000000001"/>
        <n v="59.985626000000003"/>
        <n v="59.968989999999998"/>
        <n v="60.010578000000002"/>
        <n v="60.917183000000001"/>
        <n v="61.399597"/>
        <n v="60.767471"/>
        <n v="60.717564000000003"/>
        <n v="61.299788999999997"/>
        <n v="61.782200000000003"/>
        <n v="62.256298000000001"/>
        <n v="60.035533999999998"/>
        <n v="58.214005"/>
        <n v="57.373939999999997"/>
        <n v="57.723274000000004"/>
        <n v="57.79813"/>
        <n v="56.700226000000001"/>
        <n v="55.718761000000001"/>
        <n v="54.645809"/>
        <n v="55.56073"/>
        <n v="55.727080999999998"/>
        <n v="54.587584999999997"/>
        <n v="54.313110000000002"/>
        <n v="54.728985000000002"/>
        <n v="55.435966000000001"/>
        <n v="57.166004000000001"/>
        <n v="56.434066999999999"/>
        <n v="57.332352"/>
        <n v="58.222321000000001"/>
        <n v="57.906258000000001"/>
        <n v="57.989432999999998"/>
        <n v="56.758445999999999"/>
        <n v="59.212100999999997"/>
        <n v="56.392479000000002"/>
        <n v="57.789814"/>
        <n v="58.555019000000001"/>
        <n v="57.964480999999999"/>
        <n v="59.045752999999998"/>
        <n v="59.719467000000002"/>
        <n v="60.235149"/>
        <n v="60.409816999999997"/>
        <n v="61.499409"/>
        <n v="62.089947000000002"/>
        <n v="61.133437999999998"/>
        <n v="60.675975999999999"/>
        <n v="59.677878999999997"/>
        <n v="59.178832999999997"/>
        <n v="58.130828999999999"/>
        <n v="60.168610000000001"/>
        <n v="58.505116000000001"/>
        <n v="57.972797"/>
        <n v="58.055973000000002"/>
        <n v="57.889622000000003"/>
        <n v="57.806449999999998"/>
        <n v="57.640098999999999"/>
        <n v="56.658638000000003"/>
        <n v="56.733494"/>
        <n v="56.642001999999998"/>
        <n v="56.059780000000003"/>
        <n v="56.558826000000003"/>
        <n v="57.681685999999999"/>
        <n v="56.226128000000003"/>
        <n v="56.051459999999999"/>
        <n v="55.810253000000003"/>
        <n v="55.602317999999997"/>
        <n v="56.334254999999999"/>
        <n v="56.725178"/>
        <n v="63.004871000000001"/>
        <n v="62.755344000000001"/>
        <n v="60.260105000000003"/>
        <n v="60.967091000000003"/>
        <n v="61.840423999999999"/>
        <n v="62.539093000000001"/>
        <n v="62.630585000000004"/>
        <n v="64.701637000000005"/>
        <n v="65.292175"/>
        <n v="63.711857000000002"/>
      </sharedItems>
    </cacheField>
    <cacheField name="Low" numFmtId="0">
      <sharedItems containsSemiMixedTypes="0" containsString="0" containsNumber="1" minValue="37.521210000000004" maxValue="84.542968999999999"/>
    </cacheField>
    <cacheField name="Close" numFmtId="0">
      <sharedItems containsSemiMixedTypes="0" containsString="0" containsNumber="1" minValue="37.550975999999999" maxValue="85.052834000000004"/>
    </cacheField>
    <cacheField name="Adj Close" numFmtId="0">
      <sharedItems containsSemiMixedTypes="0" containsString="0" containsNumber="1" minValue="9.8872610000000005" maxValue="22.394611000000001"/>
    </cacheField>
    <cacheField name="Volume" numFmtId="0">
      <sharedItems containsSemiMixedTypes="0" containsString="0" containsNumber="1" containsInteger="1" minValue="0" maxValue="20039374"/>
    </cacheField>
    <cacheField name="Months (Date)" numFmtId="0" databaseField="0">
      <fieldGroup base="0">
        <rangePr groupBy="months" startDate="1996-10-30T00:00:00" endDate="2000-01-01T00:00:00"/>
        <groupItems count="14">
          <s v="&lt;30-10-199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00"/>
        </groupItems>
      </fieldGroup>
    </cacheField>
    <cacheField name="Quarters (Date)" numFmtId="0" databaseField="0">
      <fieldGroup base="0">
        <rangePr groupBy="quarters" startDate="1996-10-30T00:00:00" endDate="2000-01-01T00:00:00"/>
        <groupItems count="6">
          <s v="&lt;30-10-1996"/>
          <s v="Qtr1"/>
          <s v="Qtr2"/>
          <s v="Qtr3"/>
          <s v="Qtr4"/>
          <s v="&gt;01-01-2000"/>
        </groupItems>
      </fieldGroup>
    </cacheField>
    <cacheField name="Years (Date)" numFmtId="0" databaseField="0">
      <fieldGroup base="0">
        <rangePr groupBy="years" startDate="1996-10-30T00:00:00" endDate="2000-01-01T00:00:00"/>
        <groupItems count="7">
          <s v="&lt;30-10-1996"/>
          <s v="1996"/>
          <s v="1997"/>
          <s v="1998"/>
          <s v="1999"/>
          <s v="2000"/>
          <s v="&gt;01-01-2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">
  <r>
    <x v="0"/>
    <n v="37.848666999999999"/>
    <x v="0"/>
    <n v="37.521210000000004"/>
    <n v="37.550975999999999"/>
    <n v="9.8872610000000005"/>
    <n v="1640521"/>
  </r>
  <r>
    <x v="1"/>
    <n v="37.635983000000003"/>
    <x v="1"/>
    <n v="37.635983000000003"/>
    <n v="38.052779999999998"/>
    <n v="10.019385"/>
    <n v="1908031"/>
  </r>
  <r>
    <x v="2"/>
    <n v="38.273941000000001"/>
    <x v="2"/>
    <n v="38.082554000000002"/>
    <n v="38.231346000000002"/>
    <n v="10.066402"/>
    <n v="2423211"/>
  </r>
  <r>
    <x v="3"/>
    <n v="38.273941000000001"/>
    <x v="3"/>
    <n v="38.273941000000001"/>
    <n v="38.529037000000002"/>
    <n v="10.144786"/>
    <n v="1284644"/>
  </r>
  <r>
    <x v="4"/>
    <n v="38.694889000000003"/>
    <x v="4"/>
    <n v="38.507828000000003"/>
    <n v="39.251990999999997"/>
    <n v="10.335141"/>
    <n v="2105206"/>
  </r>
  <r>
    <x v="5"/>
    <n v="39.464661"/>
    <x v="5"/>
    <n v="39.337069999999997"/>
    <n v="39.851680999999999"/>
    <n v="10.493040000000001"/>
    <n v="2973859"/>
  </r>
  <r>
    <x v="6"/>
    <n v="39.826149000000001"/>
    <x v="6"/>
    <n v="39.141444999999997"/>
    <n v="39.634762000000002"/>
    <n v="10.435926"/>
    <n v="2894508"/>
  </r>
  <r>
    <x v="7"/>
    <n v="39.877132000000003"/>
    <x v="7"/>
    <n v="39.783645999999997"/>
    <n v="39.783645999999997"/>
    <n v="10.475127000000001"/>
    <n v="2001809"/>
  </r>
  <r>
    <x v="8"/>
    <n v="39.762352"/>
    <x v="8"/>
    <n v="39.741058000000002"/>
    <n v="39.962223000000002"/>
    <n v="10.522145999999999"/>
    <n v="1020742"/>
  </r>
  <r>
    <x v="9"/>
    <n v="39.911144"/>
    <x v="9"/>
    <n v="39.779311999999997"/>
    <n v="40.868076000000002"/>
    <n v="10.76066"/>
    <n v="2786903"/>
  </r>
  <r>
    <x v="10"/>
    <n v="40.868076000000002"/>
    <x v="10"/>
    <n v="40.868076000000002"/>
    <n v="40.868076000000002"/>
    <n v="10.76066"/>
    <n v="0"/>
  </r>
  <r>
    <x v="11"/>
    <n v="40.868076000000002"/>
    <x v="10"/>
    <n v="40.868076000000002"/>
    <n v="40.868076000000002"/>
    <n v="10.76066"/>
    <n v="0"/>
  </r>
  <r>
    <x v="12"/>
    <n v="41.676037000000001"/>
    <x v="11"/>
    <n v="40.995586000000003"/>
    <n v="41.518669000000003"/>
    <n v="10.931963"/>
    <n v="1848517"/>
  </r>
  <r>
    <x v="13"/>
    <n v="41.548447000000003"/>
    <x v="12"/>
    <n v="40.953082999999999"/>
    <n v="41.059379999999997"/>
    <n v="10.811033"/>
    <n v="1451161"/>
  </r>
  <r>
    <x v="14"/>
    <n v="41.038162"/>
    <x v="13"/>
    <n v="40.974376999999997"/>
    <n v="41.31456"/>
    <n v="10.878220000000001"/>
    <n v="741210"/>
  </r>
  <r>
    <x v="15"/>
    <n v="41.378345000000003"/>
    <x v="14"/>
    <n v="40.872318"/>
    <n v="41.016869"/>
    <n v="10.799837"/>
    <n v="1249177"/>
  </r>
  <r>
    <x v="16"/>
    <n v="40.974376999999997"/>
    <x v="15"/>
    <n v="40.974376999999997"/>
    <n v="41.169994000000003"/>
    <n v="10.840152"/>
    <n v="1651342"/>
  </r>
  <r>
    <x v="17"/>
    <n v="41.250754999999998"/>
    <x v="16"/>
    <n v="41.038162"/>
    <n v="41.420856000000001"/>
    <n v="10.906207999999999"/>
    <n v="1180045"/>
  </r>
  <r>
    <x v="18"/>
    <n v="41.633533"/>
    <x v="17"/>
    <n v="41.612243999999997"/>
    <n v="42.207607000000003"/>
    <n v="11.113360999999999"/>
    <n v="1502860"/>
  </r>
  <r>
    <x v="19"/>
    <n v="42.356490999999998"/>
    <x v="18"/>
    <n v="42.356490999999998"/>
    <n v="42.420284000000002"/>
    <n v="11.169361"/>
    <n v="1883384"/>
  </r>
  <r>
    <x v="20"/>
    <n v="42.356490999999998"/>
    <x v="19"/>
    <n v="41.795143000000003"/>
    <n v="41.93121"/>
    <n v="11.040585999999999"/>
    <n v="1188461"/>
  </r>
  <r>
    <x v="21"/>
    <n v="42.058799999999998"/>
    <x v="20"/>
    <n v="41.892955999999998"/>
    <n v="42.462788000000003"/>
    <n v="11.180552"/>
    <n v="974454"/>
  </r>
  <r>
    <x v="22"/>
    <n v="42.526581"/>
    <x v="21"/>
    <n v="42.420284000000002"/>
    <n v="42.866768"/>
    <n v="11.286921"/>
    <n v="1199282"/>
  </r>
  <r>
    <x v="23"/>
    <n v="42.739178000000003"/>
    <x v="22"/>
    <n v="42.654170999999998"/>
    <n v="43.249538000000001"/>
    <n v="11.387705"/>
    <n v="1104301"/>
  </r>
  <r>
    <x v="24"/>
    <n v="43.844893999999996"/>
    <x v="23"/>
    <n v="43.802399000000001"/>
    <n v="44.780453000000001"/>
    <n v="11.790797"/>
    <n v="2090177"/>
  </r>
  <r>
    <x v="25"/>
    <n v="44.397754999999997"/>
    <x v="24"/>
    <n v="43.908695000000002"/>
    <n v="44.312674999999999"/>
    <n v="11.667631"/>
    <n v="1395255"/>
  </r>
  <r>
    <x v="26"/>
    <n v="44.270164000000001"/>
    <x v="25"/>
    <n v="43.079445"/>
    <n v="43.611015000000002"/>
    <n v="11.482884"/>
    <n v="2248879"/>
  </r>
  <r>
    <x v="27"/>
    <n v="42.547874"/>
    <x v="26"/>
    <n v="41.676037000000001"/>
    <n v="42.611587999999998"/>
    <n v="11.21973"/>
    <n v="3265414"/>
  </r>
  <r>
    <x v="28"/>
    <n v="42.951847000000001"/>
    <x v="27"/>
    <n v="42.909351000000001"/>
    <n v="43.504707000000003"/>
    <n v="11.454893"/>
    <n v="1419902"/>
  </r>
  <r>
    <x v="29"/>
    <n v="43.717303999999999"/>
    <x v="28"/>
    <n v="43.377116999999998"/>
    <n v="43.589714000000001"/>
    <n v="11.477273"/>
    <n v="1175236"/>
  </r>
  <r>
    <x v="30"/>
    <n v="43.292037999999998"/>
    <x v="29"/>
    <n v="42.322471999999998"/>
    <n v="42.59037"/>
    <n v="11.214149000000001"/>
    <n v="1676590"/>
  </r>
  <r>
    <x v="31"/>
    <n v="42.569083999999997"/>
    <x v="30"/>
    <n v="42.420284000000002"/>
    <n v="42.420284000000002"/>
    <n v="11.169361"/>
    <n v="976859"/>
  </r>
  <r>
    <x v="32"/>
    <n v="42.105553"/>
    <x v="31"/>
    <n v="41.867420000000003"/>
    <n v="42.292693999999997"/>
    <n v="11.135764"/>
    <n v="1356782"/>
  </r>
  <r>
    <x v="33"/>
    <n v="42.313904000000001"/>
    <x v="32"/>
    <n v="41.995010000000001"/>
    <n v="43.207034999999998"/>
    <n v="11.376516000000001"/>
    <n v="1808241"/>
  </r>
  <r>
    <x v="34"/>
    <n v="42.951847000000001"/>
    <x v="33"/>
    <n v="42.275635000000001"/>
    <n v="42.505287000000003"/>
    <n v="11.191741"/>
    <n v="1686810"/>
  </r>
  <r>
    <x v="35"/>
    <n v="42.611587999999998"/>
    <x v="34"/>
    <n v="42.398991000000002"/>
    <n v="42.526581"/>
    <n v="11.197348"/>
    <n v="1020742"/>
  </r>
  <r>
    <x v="36"/>
    <n v="42.611587999999998"/>
    <x v="35"/>
    <n v="42.569083999999997"/>
    <n v="43.100655000000003"/>
    <n v="11.348504999999999"/>
    <n v="1162612"/>
  </r>
  <r>
    <x v="37"/>
    <n v="43.504707000000003"/>
    <x v="36"/>
    <n v="43.249538000000001"/>
    <n v="43.377116999999998"/>
    <n v="11.421296"/>
    <n v="1404873"/>
  </r>
  <r>
    <x v="38"/>
    <n v="43.292037999999998"/>
    <x v="37"/>
    <n v="43.292037999999998"/>
    <n v="43.462131999999997"/>
    <n v="11.443678"/>
    <n v="423806"/>
  </r>
  <r>
    <x v="39"/>
    <n v="43.462131999999997"/>
    <x v="22"/>
    <n v="43.462131999999997"/>
    <n v="43.462131999999997"/>
    <n v="11.443678"/>
    <n v="0"/>
  </r>
  <r>
    <x v="40"/>
    <n v="43.462131999999997"/>
    <x v="22"/>
    <n v="43.462131999999997"/>
    <n v="43.462131999999997"/>
    <n v="11.443678"/>
    <n v="0"/>
  </r>
  <r>
    <x v="41"/>
    <n v="43.462131999999997"/>
    <x v="22"/>
    <n v="43.462131999999997"/>
    <n v="43.462131999999997"/>
    <n v="11.443678"/>
    <n v="0"/>
  </r>
  <r>
    <x v="42"/>
    <n v="43.632224999999998"/>
    <x v="38"/>
    <n v="43.632224999999998"/>
    <n v="44.227673000000003"/>
    <n v="11.645248"/>
    <n v="441840"/>
  </r>
  <r>
    <x v="43"/>
    <n v="44.482761000000004"/>
    <x v="39"/>
    <n v="44.482761000000004"/>
    <n v="45.141930000000002"/>
    <n v="11.885973999999999"/>
    <n v="977460"/>
  </r>
  <r>
    <x v="44"/>
    <n v="45.141930000000002"/>
    <x v="40"/>
    <n v="45.141930000000002"/>
    <n v="45.141930000000002"/>
    <n v="11.885973999999999"/>
    <n v="0"/>
  </r>
  <r>
    <x v="45"/>
    <n v="45.141930000000002"/>
    <x v="40"/>
    <n v="45.141930000000002"/>
    <n v="45.141930000000002"/>
    <n v="11.885973999999999"/>
    <n v="0"/>
  </r>
  <r>
    <x v="46"/>
    <n v="44.567855999999999"/>
    <x v="41"/>
    <n v="44.057487000000002"/>
    <n v="44.142586000000001"/>
    <n v="11.622847999999999"/>
    <n v="1195675"/>
  </r>
  <r>
    <x v="47"/>
    <n v="44.418976000000001"/>
    <x v="42"/>
    <n v="44.397754999999997"/>
    <n v="44.993130000000001"/>
    <n v="11.846795"/>
    <n v="1320112"/>
  </r>
  <r>
    <x v="48"/>
    <n v="45.078125"/>
    <x v="43"/>
    <n v="45.078125"/>
    <n v="46.481541"/>
    <n v="12.238699"/>
    <n v="2076351"/>
  </r>
  <r>
    <x v="49"/>
    <n v="46.481541"/>
    <x v="44"/>
    <n v="45.716084000000002"/>
    <n v="45.949962999999997"/>
    <n v="12.098732999999999"/>
    <n v="2154500"/>
  </r>
  <r>
    <x v="50"/>
    <n v="46.205143"/>
    <x v="45"/>
    <n v="45.843665999999999"/>
    <n v="47.119408"/>
    <n v="12.406651"/>
    <n v="2371513"/>
  </r>
  <r>
    <x v="51"/>
    <n v="46.843018000000001"/>
    <x v="46"/>
    <n v="46.566628000000001"/>
    <n v="47.459674999999997"/>
    <n v="12.496243"/>
    <n v="3569593"/>
  </r>
  <r>
    <x v="52"/>
    <n v="47.587265000000002"/>
    <x v="47"/>
    <n v="46.821728"/>
    <n v="47.246997999999998"/>
    <n v="12.440244"/>
    <n v="2677495"/>
  </r>
  <r>
    <x v="53"/>
    <n v="47.629767999999999"/>
    <x v="48"/>
    <n v="47.629767999999999"/>
    <n v="49.054386000000001"/>
    <n v="12.916131999999999"/>
    <n v="1695827"/>
  </r>
  <r>
    <x v="54"/>
    <n v="49.096882000000001"/>
    <x v="49"/>
    <n v="48.799205999999998"/>
    <n v="50.564082999999997"/>
    <n v="13.313637999999999"/>
    <n v="3127151"/>
  </r>
  <r>
    <x v="55"/>
    <n v="50.776767999999997"/>
    <x v="50"/>
    <n v="49.118172000000001"/>
    <n v="49.309565999999997"/>
    <n v="12.983328"/>
    <n v="2413593"/>
  </r>
  <r>
    <x v="56"/>
    <n v="49.373359999999998"/>
    <x v="51"/>
    <n v="48.267634999999999"/>
    <n v="48.905579000000003"/>
    <n v="12.876951"/>
    <n v="3065834"/>
  </r>
  <r>
    <x v="57"/>
    <n v="49.033175999999997"/>
    <x v="52"/>
    <n v="48.969379000000004"/>
    <n v="49.798625999999999"/>
    <n v="13.112090999999999"/>
    <n v="2933582"/>
  </r>
  <r>
    <x v="58"/>
    <n v="50.181319999999999"/>
    <x v="53"/>
    <n v="48.352722"/>
    <n v="48.437721000000003"/>
    <n v="12.753764"/>
    <n v="2759852"/>
  </r>
  <r>
    <x v="59"/>
    <n v="48.416519000000001"/>
    <x v="54"/>
    <n v="47.736065000000004"/>
    <n v="48.182631999999998"/>
    <n v="12.686598999999999"/>
    <n v="1222726"/>
  </r>
  <r>
    <x v="60"/>
    <n v="48.650398000000003"/>
    <x v="55"/>
    <n v="48.374015999999997"/>
    <n v="48.692909"/>
    <n v="12.820956000000001"/>
    <n v="2346866"/>
  </r>
  <r>
    <x v="61"/>
    <n v="48.544102000000002"/>
    <x v="56"/>
    <n v="48.437721000000003"/>
    <n v="49.309565999999997"/>
    <n v="12.983328"/>
    <n v="2158708"/>
  </r>
  <r>
    <x v="62"/>
    <n v="49.033175999999997"/>
    <x v="57"/>
    <n v="48.310223000000001"/>
    <n v="48.310223000000001"/>
    <n v="12.720195"/>
    <n v="1696428"/>
  </r>
  <r>
    <x v="63"/>
    <n v="48.331425000000003"/>
    <x v="58"/>
    <n v="47.757351"/>
    <n v="48.161338999999998"/>
    <n v="12.680992"/>
    <n v="845809"/>
  </r>
  <r>
    <x v="64"/>
    <n v="48.480311999999998"/>
    <x v="59"/>
    <n v="48.267634999999999"/>
    <n v="49.373359999999998"/>
    <n v="13.000121999999999"/>
    <n v="2110616"/>
  </r>
  <r>
    <x v="65"/>
    <n v="49.033175999999997"/>
    <x v="60"/>
    <n v="48.501522000000001"/>
    <n v="48.820498999999998"/>
    <n v="12.854552"/>
    <n v="1556962"/>
  </r>
  <r>
    <x v="66"/>
    <n v="49.033175999999997"/>
    <x v="61"/>
    <n v="48.714202999999998"/>
    <n v="48.884293"/>
    <n v="12.871347999999999"/>
    <n v="975055"/>
  </r>
  <r>
    <x v="67"/>
    <n v="49.033175999999997"/>
    <x v="62"/>
    <n v="48.777988000000001"/>
    <n v="49.628540000000001"/>
    <n v="13.067308000000001"/>
    <n v="1793813"/>
  </r>
  <r>
    <x v="68"/>
    <n v="49.968727000000001"/>
    <x v="63"/>
    <n v="49.968727000000001"/>
    <n v="50.797969999999999"/>
    <n v="13.375228"/>
    <n v="2402171"/>
  </r>
  <r>
    <x v="69"/>
    <n v="50.989364999999999"/>
    <x v="64"/>
    <n v="50.989364999999999"/>
    <n v="51.457129999999999"/>
    <n v="13.548783"/>
    <n v="2434633"/>
  </r>
  <r>
    <x v="70"/>
    <n v="51.627231999999999"/>
    <x v="65"/>
    <n v="51.116942999999999"/>
    <n v="51.712318000000003"/>
    <n v="13.615976"/>
    <n v="1703040"/>
  </r>
  <r>
    <x v="71"/>
    <n v="51.712318000000003"/>
    <x v="66"/>
    <n v="51.712318000000003"/>
    <n v="51.712318000000003"/>
    <n v="13.615976"/>
    <n v="0"/>
  </r>
  <r>
    <x v="72"/>
    <n v="51.393344999999997"/>
    <x v="66"/>
    <n v="51.372123999999999"/>
    <n v="51.457129999999999"/>
    <n v="13.548783"/>
    <n v="509770"/>
  </r>
  <r>
    <x v="73"/>
    <n v="51.414634999999997"/>
    <x v="67"/>
    <n v="51.095661"/>
    <n v="52.137580999999997"/>
    <n v="13.727942000000001"/>
    <n v="1505264"/>
  </r>
  <r>
    <x v="74"/>
    <n v="52.307682"/>
    <x v="68"/>
    <n v="52.137580999999997"/>
    <n v="52.477767999999998"/>
    <n v="13.817519000000001"/>
    <n v="1308089"/>
  </r>
  <r>
    <x v="75"/>
    <n v="52.477767999999998"/>
    <x v="69"/>
    <n v="52.477767999999998"/>
    <n v="52.477767999999998"/>
    <n v="13.817519000000001"/>
    <n v="0"/>
  </r>
  <r>
    <x v="76"/>
    <n v="53.030628"/>
    <x v="70"/>
    <n v="52.690444999999997"/>
    <n v="53.115726000000002"/>
    <n v="13.985492000000001"/>
    <n v="2148488"/>
  </r>
  <r>
    <x v="77"/>
    <n v="53.158217999999998"/>
    <x v="71"/>
    <n v="52.392761"/>
    <n v="52.477767999999998"/>
    <n v="13.817519000000001"/>
    <n v="2052305"/>
  </r>
  <r>
    <x v="78"/>
    <n v="52.477767999999998"/>
    <x v="72"/>
    <n v="51.839908999999999"/>
    <n v="52.328975999999997"/>
    <n v="13.778343"/>
    <n v="1224530"/>
  </r>
  <r>
    <x v="79"/>
    <n v="52.520279000000002"/>
    <x v="73"/>
    <n v="52.307682"/>
    <n v="52.413978999999998"/>
    <n v="13.800724000000001"/>
    <n v="1015933"/>
  </r>
  <r>
    <x v="80"/>
    <n v="52.031283999999999"/>
    <x v="74"/>
    <n v="52.031283999999999"/>
    <n v="52.031283999999999"/>
    <n v="13.699959"/>
    <n v="2167124"/>
  </r>
  <r>
    <x v="81"/>
    <n v="52.095089000000002"/>
    <x v="75"/>
    <n v="51.733612000000001"/>
    <n v="52.435271999999998"/>
    <n v="13.806329"/>
    <n v="2208001"/>
  </r>
  <r>
    <x v="82"/>
    <n v="52.435271999999998"/>
    <x v="75"/>
    <n v="52.435271999999998"/>
    <n v="52.435271999999998"/>
    <n v="13.806329"/>
    <n v="0"/>
  </r>
  <r>
    <x v="83"/>
    <n v="51.669815"/>
    <x v="66"/>
    <n v="50.925567999999998"/>
    <n v="51.244534000000002"/>
    <n v="13.492805000000001"/>
    <n v="1078452"/>
  </r>
  <r>
    <x v="84"/>
    <n v="51.754821999999997"/>
    <x v="76"/>
    <n v="51.627231999999999"/>
    <n v="51.946204999999999"/>
    <n v="13.677557"/>
    <n v="1506466"/>
  </r>
  <r>
    <x v="85"/>
    <n v="51.882407999999998"/>
    <x v="74"/>
    <n v="51.201957999999998"/>
    <n v="51.563426999999997"/>
    <n v="13.576772999999999"/>
    <n v="1573193"/>
  </r>
  <r>
    <x v="86"/>
    <n v="51.627231999999999"/>
    <x v="77"/>
    <n v="51.627231999999999"/>
    <n v="52.073794999999997"/>
    <n v="13.711152999999999"/>
    <n v="1414491"/>
  </r>
  <r>
    <x v="87"/>
    <n v="51.967498999999997"/>
    <x v="77"/>
    <n v="51.967498999999997"/>
    <n v="52.052501999999997"/>
    <n v="13.705546999999999"/>
    <n v="1195074"/>
  </r>
  <r>
    <x v="88"/>
    <n v="52.052501999999997"/>
    <x v="78"/>
    <n v="51.946204999999999"/>
    <n v="52.562862000000003"/>
    <n v="13.839926"/>
    <n v="973252"/>
  </r>
  <r>
    <x v="89"/>
    <n v="53.158217999999998"/>
    <x v="79"/>
    <n v="53.158217999999998"/>
    <n v="54.81673"/>
    <n v="14.433372"/>
    <n v="3679602"/>
  </r>
  <r>
    <x v="90"/>
    <n v="54.986823999999999"/>
    <x v="80"/>
    <n v="54.625346999999998"/>
    <n v="55.156993999999997"/>
    <n v="14.522964"/>
    <n v="4286156"/>
  </r>
  <r>
    <x v="91"/>
    <n v="55.582180000000001"/>
    <x v="81"/>
    <n v="55.327083999999999"/>
    <n v="55.475883000000003"/>
    <n v="14.60693"/>
    <n v="2330034"/>
  </r>
  <r>
    <x v="92"/>
    <n v="55.327083999999999"/>
    <x v="82"/>
    <n v="54.774231"/>
    <n v="56.262633999999998"/>
    <n v="14.814086"/>
    <n v="2625796"/>
  </r>
  <r>
    <x v="93"/>
    <n v="56.432727999999997"/>
    <x v="83"/>
    <n v="55.497185000000002"/>
    <n v="56.135052000000002"/>
    <n v="14.780488999999999"/>
    <n v="1420503"/>
  </r>
  <r>
    <x v="94"/>
    <n v="56.347729000000001"/>
    <x v="84"/>
    <n v="55.879955000000002"/>
    <n v="55.879955000000002"/>
    <n v="14.713323000000001"/>
    <n v="1362793"/>
  </r>
  <r>
    <x v="95"/>
    <n v="55.879955000000002"/>
    <x v="85"/>
    <n v="54.263863000000001"/>
    <n v="54.434035999999999"/>
    <n v="14.332608"/>
    <n v="1914042"/>
  </r>
  <r>
    <x v="96"/>
    <n v="54.029983999999999"/>
    <x v="86"/>
    <n v="53.753585999999999"/>
    <n v="54.412754"/>
    <n v="14.327006000000001"/>
    <n v="1635111"/>
  </r>
  <r>
    <x v="97"/>
    <n v="53.838673"/>
    <x v="85"/>
    <n v="53.838673"/>
    <n v="56.007454000000003"/>
    <n v="14.74689"/>
    <n v="2347467"/>
  </r>
  <r>
    <x v="98"/>
    <n v="55.964958000000003"/>
    <x v="87"/>
    <n v="54.582836"/>
    <n v="54.625346999999998"/>
    <n v="14.382982"/>
    <n v="1246171"/>
  </r>
  <r>
    <x v="99"/>
    <n v="54.646633000000001"/>
    <x v="88"/>
    <n v="53.540908999999999"/>
    <n v="53.668506999999998"/>
    <n v="14.131043"/>
    <n v="2370310"/>
  </r>
  <r>
    <x v="100"/>
    <n v="53.796084999999998"/>
    <x v="89"/>
    <n v="53.583492"/>
    <n v="53.881183999999998"/>
    <n v="14.187041000000001"/>
    <n v="1279234"/>
  </r>
  <r>
    <x v="101"/>
    <n v="53.796084999999998"/>
    <x v="90"/>
    <n v="52.477767999999998"/>
    <n v="52.945549"/>
    <n v="13.940687"/>
    <n v="2714766"/>
  </r>
  <r>
    <x v="102"/>
    <n v="53.370815"/>
    <x v="91"/>
    <n v="53.243232999999996"/>
    <n v="53.796084999999998"/>
    <n v="14.164634"/>
    <n v="1891199"/>
  </r>
  <r>
    <x v="103"/>
    <n v="53.902386"/>
    <x v="92"/>
    <n v="53.902386"/>
    <n v="54.157573999999997"/>
    <n v="14.259812999999999"/>
    <n v="925160"/>
  </r>
  <r>
    <x v="104"/>
    <n v="54.540332999999997"/>
    <x v="93"/>
    <n v="54.47654"/>
    <n v="55.284508000000002"/>
    <n v="14.55654"/>
    <n v="1247373"/>
  </r>
  <r>
    <x v="105"/>
    <n v="55.071911"/>
    <x v="94"/>
    <n v="54.81673"/>
    <n v="57.751052999999999"/>
    <n v="15.205988"/>
    <n v="2785100"/>
  </r>
  <r>
    <x v="106"/>
    <n v="58.686680000000003"/>
    <x v="95"/>
    <n v="56.539116"/>
    <n v="56.539116"/>
    <n v="14.886884999999999"/>
    <n v="932374"/>
  </r>
  <r>
    <x v="107"/>
    <n v="56.539116"/>
    <x v="96"/>
    <n v="56.539116"/>
    <n v="56.539116"/>
    <n v="14.886884999999999"/>
    <n v="0"/>
  </r>
  <r>
    <x v="108"/>
    <n v="56.539116"/>
    <x v="96"/>
    <n v="56.539116"/>
    <n v="56.539116"/>
    <n v="14.886884999999999"/>
    <n v="0"/>
  </r>
  <r>
    <x v="109"/>
    <n v="54.986823999999999"/>
    <x v="97"/>
    <n v="52.945549"/>
    <n v="53.774883000000003"/>
    <n v="14.159052000000001"/>
    <n v="2940195"/>
  </r>
  <r>
    <x v="110"/>
    <n v="54.008761999999997"/>
    <x v="98"/>
    <n v="52.541569000000003"/>
    <n v="52.711655"/>
    <n v="13.879104"/>
    <n v="2380530"/>
  </r>
  <r>
    <x v="111"/>
    <n v="52.945549"/>
    <x v="99"/>
    <n v="51.563426999999997"/>
    <n v="51.861117999999998"/>
    <n v="13.655154"/>
    <n v="3264813"/>
  </r>
  <r>
    <x v="112"/>
    <n v="52.201385000000002"/>
    <x v="100"/>
    <n v="51.882407999999998"/>
    <n v="52.669159000000001"/>
    <n v="13.867910999999999"/>
    <n v="2372715"/>
  </r>
  <r>
    <x v="113"/>
    <n v="53.498412999999999"/>
    <x v="101"/>
    <n v="53.455910000000003"/>
    <n v="55.263289999999998"/>
    <n v="14.550951"/>
    <n v="2287954"/>
  </r>
  <r>
    <x v="114"/>
    <n v="55.454681000000001"/>
    <x v="102"/>
    <n v="54.221359"/>
    <n v="54.47654"/>
    <n v="14.343802"/>
    <n v="1654949"/>
  </r>
  <r>
    <x v="115"/>
    <n v="55.156993999999997"/>
    <x v="103"/>
    <n v="54.646633000000001"/>
    <n v="54.774231"/>
    <n v="14.422183"/>
    <n v="1651943"/>
  </r>
  <r>
    <x v="116"/>
    <n v="55.071911"/>
    <x v="87"/>
    <n v="54.540332999999997"/>
    <n v="55.943741000000003"/>
    <n v="14.730115"/>
    <n v="2325224"/>
  </r>
  <r>
    <x v="117"/>
    <n v="56.560326000000003"/>
    <x v="104"/>
    <n v="56.560326000000003"/>
    <n v="57.623539000000001"/>
    <n v="15.172415000000001"/>
    <n v="4835001"/>
  </r>
  <r>
    <x v="118"/>
    <n v="56.879299000000003"/>
    <x v="105"/>
    <n v="56.517814999999999"/>
    <n v="57.793633"/>
    <n v="15.2172"/>
    <n v="3009928"/>
  </r>
  <r>
    <x v="119"/>
    <n v="58.814278000000002"/>
    <x v="106"/>
    <n v="57.942431999999997"/>
    <n v="59.239547999999999"/>
    <n v="15.597911"/>
    <n v="2889699"/>
  </r>
  <r>
    <x v="120"/>
    <n v="59.239547999999999"/>
    <x v="106"/>
    <n v="59.239547999999999"/>
    <n v="59.239547999999999"/>
    <n v="15.597911"/>
    <n v="0"/>
  </r>
  <r>
    <x v="121"/>
    <n v="57.410862000000002"/>
    <x v="107"/>
    <n v="55.773575000000001"/>
    <n v="56.283935999999997"/>
    <n v="14.819692"/>
    <n v="4526013"/>
  </r>
  <r>
    <x v="122"/>
    <n v="56.454025000000001"/>
    <x v="108"/>
    <n v="55.369587000000003"/>
    <n v="55.454681000000001"/>
    <n v="14.601345999999999"/>
    <n v="1921256"/>
  </r>
  <r>
    <x v="123"/>
    <n v="55.071911"/>
    <x v="79"/>
    <n v="52.945549"/>
    <n v="53.987479999999998"/>
    <n v="14.215032000000001"/>
    <n v="3018945"/>
  </r>
  <r>
    <x v="124"/>
    <n v="53.966178999999997"/>
    <x v="109"/>
    <n v="53.796084999999998"/>
    <n v="54.391460000000002"/>
    <n v="14.321400000000001"/>
    <n v="2455072"/>
  </r>
  <r>
    <x v="125"/>
    <n v="55.560982000000003"/>
    <x v="110"/>
    <n v="54.136364"/>
    <n v="54.306454000000002"/>
    <n v="14.299018"/>
    <n v="991887"/>
  </r>
  <r>
    <x v="126"/>
    <n v="54.434035999999999"/>
    <x v="111"/>
    <n v="54.115062999999999"/>
    <n v="54.391460000000002"/>
    <n v="14.321400000000001"/>
    <n v="1793813"/>
  </r>
  <r>
    <x v="127"/>
    <n v="54.434035999999999"/>
    <x v="112"/>
    <n v="53.796084999999998"/>
    <n v="53.796084999999998"/>
    <n v="14.164634"/>
    <n v="428615"/>
  </r>
  <r>
    <x v="128"/>
    <n v="54.221359"/>
    <x v="113"/>
    <n v="53.881183999999998"/>
    <n v="54.221359"/>
    <n v="14.276608"/>
    <n v="884282"/>
  </r>
  <r>
    <x v="129"/>
    <n v="54.646633000000001"/>
    <x v="114"/>
    <n v="54.029983999999999"/>
    <n v="54.391460000000002"/>
    <n v="14.321400000000001"/>
    <n v="1416896"/>
  </r>
  <r>
    <x v="130"/>
    <n v="55.071911"/>
    <x v="79"/>
    <n v="54.327655999999998"/>
    <n v="54.540332999999997"/>
    <n v="14.360597"/>
    <n v="1567783"/>
  </r>
  <r>
    <x v="131"/>
    <n v="54.540332999999997"/>
    <x v="98"/>
    <n v="54.540332999999997"/>
    <n v="54.540332999999997"/>
    <n v="14.360597"/>
    <n v="0"/>
  </r>
  <r>
    <x v="132"/>
    <n v="54.795524999999998"/>
    <x v="115"/>
    <n v="56.028754999999997"/>
    <n v="57.155681999999999"/>
    <n v="15.049226000000001"/>
    <n v="1224530"/>
  </r>
  <r>
    <x v="133"/>
    <n v="57.836136000000003"/>
    <x v="104"/>
    <n v="57.580952000000003"/>
    <n v="58.346420000000002"/>
    <n v="15.362753"/>
    <n v="2768268"/>
  </r>
  <r>
    <x v="134"/>
    <n v="58.516585999999997"/>
    <x v="116"/>
    <n v="56.432727999999997"/>
    <n v="56.858006000000003"/>
    <n v="14.970846"/>
    <n v="2636617"/>
  </r>
  <r>
    <x v="135"/>
    <n v="56.921802999999997"/>
    <x v="117"/>
    <n v="55.922459000000003"/>
    <n v="56.560326000000003"/>
    <n v="14.892467"/>
    <n v="1501657"/>
  </r>
  <r>
    <x v="136"/>
    <n v="56.560326000000003"/>
    <x v="108"/>
    <n v="56.560326000000003"/>
    <n v="56.560326000000003"/>
    <n v="14.892467"/>
    <n v="0"/>
  </r>
  <r>
    <x v="137"/>
    <n v="56.347729000000001"/>
    <x v="118"/>
    <n v="56.007454000000003"/>
    <n v="57.176983"/>
    <n v="15.054831999999999"/>
    <n v="2999708"/>
  </r>
  <r>
    <x v="138"/>
    <n v="57.325867000000002"/>
    <x v="119"/>
    <n v="56.773003000000003"/>
    <n v="57.623539000000001"/>
    <n v="15.172415000000001"/>
    <n v="1665168"/>
  </r>
  <r>
    <x v="139"/>
    <n v="57.942431999999997"/>
    <x v="120"/>
    <n v="56.539116"/>
    <n v="56.560326000000003"/>
    <n v="14.892467"/>
    <n v="1973555"/>
  </r>
  <r>
    <x v="140"/>
    <n v="56.794204999999998"/>
    <x v="121"/>
    <n v="56.773003000000003"/>
    <n v="57.198264999999999"/>
    <n v="15.060439000000001"/>
    <n v="1431925"/>
  </r>
  <r>
    <x v="141"/>
    <n v="56.985596000000001"/>
    <x v="122"/>
    <n v="56.645412"/>
    <n v="57.006881999999997"/>
    <n v="15.010045"/>
    <n v="994893"/>
  </r>
  <r>
    <x v="142"/>
    <n v="57.091892000000001"/>
    <x v="123"/>
    <n v="56.560326000000003"/>
    <n v="56.602825000000003"/>
    <n v="14.90366"/>
    <n v="1687411"/>
  </r>
  <r>
    <x v="143"/>
    <n v="56.602825000000003"/>
    <x v="124"/>
    <n v="56.602825000000003"/>
    <n v="56.602825000000003"/>
    <n v="14.90366"/>
    <n v="0"/>
  </r>
  <r>
    <x v="144"/>
    <n v="56.560326000000003"/>
    <x v="108"/>
    <n v="55.624775"/>
    <n v="56.050037000000003"/>
    <n v="14.758106"/>
    <n v="1357383"/>
  </r>
  <r>
    <x v="145"/>
    <n v="56.220131000000002"/>
    <x v="125"/>
    <n v="55.220787000000001"/>
    <n v="56.007454000000003"/>
    <n v="14.74689"/>
    <n v="3660365"/>
  </r>
  <r>
    <x v="146"/>
    <n v="55.879955000000002"/>
    <x v="126"/>
    <n v="55.284508000000002"/>
    <n v="55.986252"/>
    <n v="14.74131"/>
    <n v="2075149"/>
  </r>
  <r>
    <x v="147"/>
    <n v="56.092548000000001"/>
    <x v="127"/>
    <n v="56.454025000000001"/>
    <n v="56.517814999999999"/>
    <n v="14.881269"/>
    <n v="413587"/>
  </r>
  <r>
    <x v="148"/>
    <n v="56.560326000000003"/>
    <x v="128"/>
    <n v="55.986252"/>
    <n v="57.028098999999997"/>
    <n v="15.015632999999999"/>
    <n v="1818460"/>
  </r>
  <r>
    <x v="149"/>
    <n v="57.070686000000002"/>
    <x v="119"/>
    <n v="56.985596000000001"/>
    <n v="57.878642999999997"/>
    <n v="15.239583"/>
    <n v="2664270"/>
  </r>
  <r>
    <x v="150"/>
    <n v="58.389004"/>
    <x v="129"/>
    <n v="56.773003000000003"/>
    <n v="56.943085000000004"/>
    <n v="14.993245999999999"/>
    <n v="899311"/>
  </r>
  <r>
    <x v="151"/>
    <n v="56.581608000000003"/>
    <x v="107"/>
    <n v="56.581608000000003"/>
    <n v="56.985596000000001"/>
    <n v="15.004436999999999"/>
    <n v="66726"/>
  </r>
  <r>
    <x v="152"/>
    <n v="56.985596000000001"/>
    <x v="107"/>
    <n v="55.964958000000003"/>
    <n v="56.198849000000003"/>
    <n v="14.797291"/>
    <n v="72137"/>
  </r>
  <r>
    <x v="153"/>
    <n v="55.922459000000003"/>
    <x v="128"/>
    <n v="55.922459000000003"/>
    <n v="56.751708999999998"/>
    <n v="14.942856000000001"/>
    <n v="1216715"/>
  </r>
  <r>
    <x v="154"/>
    <n v="56.751708999999998"/>
    <x v="128"/>
    <n v="56.687904000000003"/>
    <n v="57.176983"/>
    <n v="15.054831999999999"/>
    <n v="876467"/>
  </r>
  <r>
    <x v="155"/>
    <n v="57.325867000000002"/>
    <x v="130"/>
    <n v="56.879299000000003"/>
    <n v="56.985596000000001"/>
    <n v="15.004436999999999"/>
    <n v="1120532"/>
  </r>
  <r>
    <x v="156"/>
    <n v="56.794204999999998"/>
    <x v="131"/>
    <n v="57.283279"/>
    <n v="57.432163000000003"/>
    <n v="15.122025000000001"/>
    <n v="321010"/>
  </r>
  <r>
    <x v="157"/>
    <n v="58.027526999999999"/>
    <x v="132"/>
    <n v="57.495956"/>
    <n v="58.133823"/>
    <n v="15.30677"/>
    <n v="1926065"/>
  </r>
  <r>
    <x v="158"/>
    <n v="58.346420000000002"/>
    <x v="133"/>
    <n v="57.113177999999998"/>
    <n v="57.155681999999999"/>
    <n v="15.049226000000001"/>
    <n v="1608661"/>
  </r>
  <r>
    <x v="159"/>
    <n v="57.559753000000001"/>
    <x v="134"/>
    <n v="57.325867000000002"/>
    <n v="57.410862000000002"/>
    <n v="15.116415"/>
    <n v="400361"/>
  </r>
  <r>
    <x v="160"/>
    <n v="57.495956"/>
    <x v="135"/>
    <n v="57.262062"/>
    <n v="57.368358999999998"/>
    <n v="15.105224"/>
    <n v="947402"/>
  </r>
  <r>
    <x v="161"/>
    <n v="57.623539000000001"/>
    <x v="136"/>
    <n v="57.580952000000003"/>
    <n v="58.346420000000002"/>
    <n v="15.362753"/>
    <n v="1595436"/>
  </r>
  <r>
    <x v="162"/>
    <n v="58.686680000000003"/>
    <x v="137"/>
    <n v="57.899929"/>
    <n v="58.431507000000003"/>
    <n v="15.385153000000001"/>
    <n v="1762554"/>
  </r>
  <r>
    <x v="163"/>
    <n v="58.686680000000003"/>
    <x v="138"/>
    <n v="58.325211000000003"/>
    <n v="58.559097000000001"/>
    <n v="15.418747"/>
    <n v="1662764"/>
  </r>
  <r>
    <x v="164"/>
    <n v="58.686680000000003"/>
    <x v="138"/>
    <n v="58.006225999999998"/>
    <n v="58.261406000000001"/>
    <n v="15.340363999999999"/>
    <n v="1819061"/>
  </r>
  <r>
    <x v="165"/>
    <n v="58.133823"/>
    <x v="132"/>
    <n v="57.772345999999999"/>
    <n v="57.793633"/>
    <n v="15.2172"/>
    <n v="1213108"/>
  </r>
  <r>
    <x v="166"/>
    <n v="57.985016000000002"/>
    <x v="139"/>
    <n v="57.729835999999999"/>
    <n v="57.942431999999997"/>
    <n v="15.256378"/>
    <n v="938986"/>
  </r>
  <r>
    <x v="167"/>
    <n v="57.921230000000001"/>
    <x v="140"/>
    <n v="57.772345999999999"/>
    <n v="58.070030000000003"/>
    <n v="15.289975"/>
    <n v="1270818"/>
  </r>
  <r>
    <x v="168"/>
    <n v="58.133823"/>
    <x v="141"/>
    <n v="57.623539000000001"/>
    <n v="57.836136000000003"/>
    <n v="15.228389999999999"/>
    <n v="920952"/>
  </r>
  <r>
    <x v="169"/>
    <n v="57.325867000000002"/>
    <x v="142"/>
    <n v="56.943085000000004"/>
    <n v="57.410862000000002"/>
    <n v="15.116415"/>
    <n v="2148488"/>
  </r>
  <r>
    <x v="170"/>
    <n v="58.006225999999998"/>
    <x v="143"/>
    <n v="57.666049999999998"/>
    <n v="60.005009000000001"/>
    <n v="15.799455"/>
    <n v="3831691"/>
  </r>
  <r>
    <x v="171"/>
    <n v="60.557868999999997"/>
    <x v="144"/>
    <n v="60.090004"/>
    <n v="60.494076"/>
    <n v="15.928229"/>
    <n v="3767970"/>
  </r>
  <r>
    <x v="172"/>
    <n v="60.557868999999997"/>
    <x v="145"/>
    <n v="59.579734999999999"/>
    <n v="60.111305000000002"/>
    <n v="15.827449"/>
    <n v="1006315"/>
  </r>
  <r>
    <x v="173"/>
    <n v="60.345184000000003"/>
    <x v="146"/>
    <n v="59.664814"/>
    <n v="59.792327999999998"/>
    <n v="15.743459"/>
    <n v="987078"/>
  </r>
  <r>
    <x v="174"/>
    <n v="60.132598999999999"/>
    <x v="147"/>
    <n v="60.026299000000002"/>
    <n v="60.855553"/>
    <n v="16.023409000000001"/>
    <n v="1342955"/>
  </r>
  <r>
    <x v="175"/>
    <n v="60.983131"/>
    <x v="148"/>
    <n v="60.685375000000001"/>
    <n v="61.961193000000002"/>
    <n v="16.314527999999999"/>
    <n v="2670281"/>
  </r>
  <r>
    <x v="176"/>
    <n v="62.173870000000001"/>
    <x v="149"/>
    <n v="61.663502000000001"/>
    <n v="62.024979000000002"/>
    <n v="16.331323999999999"/>
    <n v="1922458"/>
  </r>
  <r>
    <x v="177"/>
    <n v="62.088776000000003"/>
    <x v="150"/>
    <n v="61.387118999999998"/>
    <n v="61.663502000000001"/>
    <n v="16.236141"/>
    <n v="834387"/>
  </r>
  <r>
    <x v="178"/>
    <n v="61.663502000000001"/>
    <x v="148"/>
    <n v="62.024979000000002"/>
    <n v="62.088776000000003"/>
    <n v="16.348120000000002"/>
    <n v="141869"/>
  </r>
  <r>
    <x v="179"/>
    <n v="62.088776000000003"/>
    <x v="151"/>
    <n v="61.876182999999997"/>
    <n v="62.046280000000003"/>
    <n v="16.336926999999999"/>
    <n v="1838298"/>
  </r>
  <r>
    <x v="180"/>
    <n v="62.301453000000002"/>
    <x v="152"/>
    <n v="61.323326000000002"/>
    <n v="61.578505999999997"/>
    <n v="16.213766"/>
    <n v="1714462"/>
  </r>
  <r>
    <x v="181"/>
    <n v="61.450909000000003"/>
    <x v="153"/>
    <n v="61.450909000000003"/>
    <n v="61.557205000000003"/>
    <n v="16.208155000000001"/>
    <n v="1278032"/>
  </r>
  <r>
    <x v="182"/>
    <n v="61.854897000000001"/>
    <x v="148"/>
    <n v="61.535919"/>
    <n v="61.812385999999996"/>
    <n v="16.275351000000001"/>
    <n v="1383833"/>
  </r>
  <r>
    <x v="183"/>
    <n v="62.173870000000001"/>
    <x v="154"/>
    <n v="62.088776000000003"/>
    <n v="63.322097999999997"/>
    <n v="16.672854999999998"/>
    <n v="2654651"/>
  </r>
  <r>
    <x v="184"/>
    <n v="63.279513999999999"/>
    <x v="155"/>
    <n v="62.726643000000003"/>
    <n v="63.938670999999999"/>
    <n v="16.835201000000001"/>
    <n v="2849422"/>
  </r>
  <r>
    <x v="185"/>
    <n v="64.130050999999995"/>
    <x v="156"/>
    <n v="63.896172"/>
    <n v="65.193282999999994"/>
    <n v="17.165543"/>
    <n v="2272324"/>
  </r>
  <r>
    <x v="186"/>
    <n v="65.575965999999994"/>
    <x v="157"/>
    <n v="64.044556"/>
    <n v="64.512825000000007"/>
    <n v="16.986377999999998"/>
    <n v="2296370"/>
  </r>
  <r>
    <x v="187"/>
    <n v="64.576622"/>
    <x v="158"/>
    <n v="63.726078000000001"/>
    <n v="63.789870999999998"/>
    <n v="16.796016999999999"/>
    <n v="1219120"/>
  </r>
  <r>
    <x v="188"/>
    <n v="63.789870999999998"/>
    <x v="159"/>
    <n v="62.450252999999996"/>
    <n v="63.407097"/>
    <n v="16.695236000000001"/>
    <n v="1261200"/>
  </r>
  <r>
    <x v="189"/>
    <n v="64.002464000000003"/>
    <x v="160"/>
    <n v="61.876182999999997"/>
    <n v="62.556556999999998"/>
    <n v="16.471285000000002"/>
    <n v="2891502"/>
  </r>
  <r>
    <x v="190"/>
    <n v="63.577193999999999"/>
    <x v="161"/>
    <n v="63.173217999999999"/>
    <n v="63.598480000000002"/>
    <n v="16.745629999999998"/>
    <n v="3146387"/>
  </r>
  <r>
    <x v="191"/>
    <n v="63.577193999999999"/>
    <x v="162"/>
    <n v="62.514049999999997"/>
    <n v="62.514049999999997"/>
    <n v="16.460096"/>
    <n v="2713564"/>
  </r>
  <r>
    <x v="192"/>
    <n v="63.151924000000001"/>
    <x v="163"/>
    <n v="62.514049999999997"/>
    <n v="64.321442000000005"/>
    <n v="16.935986"/>
    <n v="1657955"/>
  </r>
  <r>
    <x v="193"/>
    <n v="64.853012000000007"/>
    <x v="164"/>
    <n v="64.470245000000006"/>
    <n v="66.022521999999995"/>
    <n v="17.383883000000001"/>
    <n v="2059519"/>
  </r>
  <r>
    <x v="194"/>
    <n v="65.916145"/>
    <x v="165"/>
    <n v="66.128822"/>
    <n v="66.724197000000004"/>
    <n v="17.568639999999998"/>
    <n v="931773"/>
  </r>
  <r>
    <x v="195"/>
    <n v="67.106964000000005"/>
    <x v="166"/>
    <n v="66.979377999999997"/>
    <n v="68.042518999999999"/>
    <n v="17.915754"/>
    <n v="2287954"/>
  </r>
  <r>
    <x v="196"/>
    <n v="68.361487999999994"/>
    <x v="167"/>
    <n v="64.746718999999999"/>
    <n v="65.001900000000006"/>
    <n v="17.115151999999998"/>
    <n v="5354990"/>
  </r>
  <r>
    <x v="197"/>
    <n v="65.065680999999998"/>
    <x v="168"/>
    <n v="62.301453000000002"/>
    <n v="62.981822999999999"/>
    <n v="16.583258000000001"/>
    <n v="6248290"/>
  </r>
  <r>
    <x v="198"/>
    <n v="63.151924000000001"/>
    <x v="169"/>
    <n v="62.258876999999998"/>
    <n v="62.322670000000002"/>
    <n v="16.409701999999999"/>
    <n v="2119633"/>
  </r>
  <r>
    <x v="199"/>
    <n v="62.726643000000003"/>
    <x v="170"/>
    <n v="62.726643000000003"/>
    <n v="63.194499999999998"/>
    <n v="16.639263"/>
    <n v="1953718"/>
  </r>
  <r>
    <x v="200"/>
    <n v="63.492184000000002"/>
    <x v="171"/>
    <n v="62.811729"/>
    <n v="63.151924000000001"/>
    <n v="16.628052"/>
    <n v="937784"/>
  </r>
  <r>
    <x v="201"/>
    <n v="63.726078000000001"/>
    <x v="170"/>
    <n v="62.939326999999999"/>
    <n v="63.237003000000001"/>
    <n v="16.650449999999999"/>
    <n v="1767363"/>
  </r>
  <r>
    <x v="202"/>
    <n v="62.514049999999997"/>
    <x v="172"/>
    <n v="62.131278999999999"/>
    <n v="62.280169999999998"/>
    <n v="16.398516000000001"/>
    <n v="1698832"/>
  </r>
  <r>
    <x v="203"/>
    <n v="61.748600000000003"/>
    <x v="173"/>
    <n v="61.535919"/>
    <n v="62.514049999999997"/>
    <n v="16.460096"/>
    <n v="911334"/>
  </r>
  <r>
    <x v="204"/>
    <n v="62.811729"/>
    <x v="174"/>
    <n v="62.641646999999999"/>
    <n v="63.577193999999999"/>
    <n v="16.740026"/>
    <n v="981067"/>
  </r>
  <r>
    <x v="205"/>
    <n v="63.534694999999999"/>
    <x v="171"/>
    <n v="61.684803000000002"/>
    <n v="62.067574"/>
    <n v="16.342535000000002"/>
    <n v="1713260"/>
  </r>
  <r>
    <x v="206"/>
    <n v="62.386467000000003"/>
    <x v="175"/>
    <n v="60.812964999999998"/>
    <n v="60.855553"/>
    <n v="16.023409000000001"/>
    <n v="1240761"/>
  </r>
  <r>
    <x v="207"/>
    <n v="61.238239"/>
    <x v="176"/>
    <n v="58.197612999999997"/>
    <n v="58.197612999999997"/>
    <n v="15.323567000000001"/>
    <n v="2660663"/>
  </r>
  <r>
    <x v="208"/>
    <n v="56.560326000000003"/>
    <x v="177"/>
    <n v="55.922459000000003"/>
    <n v="58.155109000000003"/>
    <n v="15.312374"/>
    <n v="2581312"/>
  </r>
  <r>
    <x v="209"/>
    <n v="58.899281000000002"/>
    <x v="178"/>
    <n v="58.707897000000003"/>
    <n v="60.983131"/>
    <n v="16.056996999999999"/>
    <n v="1951313"/>
  </r>
  <r>
    <x v="210"/>
    <n v="61.706088999999999"/>
    <x v="179"/>
    <n v="60.834251000000002"/>
    <n v="60.898052"/>
    <n v="16.034597000000002"/>
    <n v="408777"/>
  </r>
  <r>
    <x v="211"/>
    <n v="61.939982999999998"/>
    <x v="180"/>
    <n v="61.642302999999998"/>
    <n v="61.642302999999998"/>
    <n v="16.230564000000001"/>
    <n v="957021"/>
  </r>
  <r>
    <x v="212"/>
    <n v="59.749825000000001"/>
    <x v="181"/>
    <n v="59.111958000000001"/>
    <n v="59.154452999999997"/>
    <n v="15.575504"/>
    <n v="2434633"/>
  </r>
  <r>
    <x v="213"/>
    <n v="59.111958000000001"/>
    <x v="182"/>
    <n v="59.111958000000001"/>
    <n v="59.260750000000002"/>
    <n v="15.603497000000001"/>
    <n v="8416"/>
  </r>
  <r>
    <x v="214"/>
    <n v="58.218910000000001"/>
    <x v="136"/>
    <n v="56.560326000000003"/>
    <n v="57.410862000000002"/>
    <n v="15.116415"/>
    <n v="5825085"/>
  </r>
  <r>
    <x v="215"/>
    <n v="56.985596000000001"/>
    <x v="183"/>
    <n v="56.390231999999997"/>
    <n v="57.878642999999997"/>
    <n v="15.239583"/>
    <n v="5838310"/>
  </r>
  <r>
    <x v="216"/>
    <n v="58.431507000000003"/>
    <x v="184"/>
    <n v="56.071258999999998"/>
    <n v="56.581608000000003"/>
    <n v="14.898070000000001"/>
    <n v="5328540"/>
  </r>
  <r>
    <x v="217"/>
    <n v="56.560326000000003"/>
    <x v="185"/>
    <n v="56.135052000000002"/>
    <n v="56.135052000000002"/>
    <n v="14.780488999999999"/>
    <n v="1074845"/>
  </r>
  <r>
    <x v="218"/>
    <n v="56.773003000000003"/>
    <x v="142"/>
    <n v="56.773003000000003"/>
    <n v="58.027526999999999"/>
    <n v="15.278782"/>
    <n v="3553963"/>
  </r>
  <r>
    <x v="219"/>
    <n v="58.176327000000001"/>
    <x v="186"/>
    <n v="58.133823"/>
    <n v="58.941775999999997"/>
    <n v="15.51951"/>
    <n v="4245278"/>
  </r>
  <r>
    <x v="220"/>
    <n v="60.770454000000001"/>
    <x v="187"/>
    <n v="58.750481000000001"/>
    <n v="58.856777000000001"/>
    <n v="15.497128"/>
    <n v="6720789"/>
  </r>
  <r>
    <x v="221"/>
    <n v="58.601601000000002"/>
    <x v="188"/>
    <n v="58.091312000000002"/>
    <n v="59.111958000000001"/>
    <n v="15.564317000000001"/>
    <n v="2895109"/>
  </r>
  <r>
    <x v="222"/>
    <n v="59.111958000000001"/>
    <x v="189"/>
    <n v="58.792976000000003"/>
    <n v="58.984360000000002"/>
    <n v="15.530720000000001"/>
    <n v="2566884"/>
  </r>
  <r>
    <x v="223"/>
    <n v="58.814278000000002"/>
    <x v="190"/>
    <n v="58.729179000000002"/>
    <n v="59.919918000000003"/>
    <n v="15.777056"/>
    <n v="3893008"/>
  </r>
  <r>
    <x v="224"/>
    <n v="59.664814"/>
    <x v="191"/>
    <n v="59.196956999999998"/>
    <n v="59.473438000000002"/>
    <n v="15.659496000000001"/>
    <n v="3521501"/>
  </r>
  <r>
    <x v="225"/>
    <n v="59.537230999999998"/>
    <x v="192"/>
    <n v="57.963734000000002"/>
    <n v="57.963734000000002"/>
    <n v="15.261984999999999"/>
    <n v="15898489"/>
  </r>
  <r>
    <x v="226"/>
    <n v="57.410862000000002"/>
    <x v="132"/>
    <n v="56.539116"/>
    <n v="56.539116"/>
    <n v="14.886884999999999"/>
    <n v="5411498"/>
  </r>
  <r>
    <x v="227"/>
    <n v="56.347729000000001"/>
    <x v="193"/>
    <n v="54.093777000000003"/>
    <n v="54.136364"/>
    <n v="14.254231000000001"/>
    <n v="7912257"/>
  </r>
  <r>
    <x v="228"/>
    <n v="55.199500999999998"/>
    <x v="93"/>
    <n v="54.008761999999997"/>
    <n v="54.689132999999998"/>
    <n v="14.399777"/>
    <n v="7046609"/>
  </r>
  <r>
    <x v="229"/>
    <n v="54.646633000000001"/>
    <x v="194"/>
    <n v="54.434035999999999"/>
    <n v="55.560982000000003"/>
    <n v="14.629333000000001"/>
    <n v="7317124"/>
  </r>
  <r>
    <x v="230"/>
    <n v="56.007454000000003"/>
    <x v="128"/>
    <n v="55.539679999999997"/>
    <n v="56.602825000000003"/>
    <n v="14.90366"/>
    <n v="7413307"/>
  </r>
  <r>
    <x v="231"/>
    <n v="56.773003000000003"/>
    <x v="115"/>
    <n v="55.922459000000003"/>
    <n v="56.496529000000002"/>
    <n v="14.875669"/>
    <n v="4132263"/>
  </r>
  <r>
    <x v="232"/>
    <n v="56.645412"/>
    <x v="195"/>
    <n v="56.262633999999998"/>
    <n v="57.240775999999997"/>
    <n v="15.071626999999999"/>
    <n v="5713272"/>
  </r>
  <r>
    <x v="233"/>
    <n v="57.495956"/>
    <x v="196"/>
    <n v="57.453372999999999"/>
    <n v="59.345847999999997"/>
    <n v="15.625897999999999"/>
    <n v="5266021"/>
  </r>
  <r>
    <x v="234"/>
    <n v="59.622227000000002"/>
    <x v="197"/>
    <n v="58.963078000000003"/>
    <n v="59.005580999999999"/>
    <n v="15.536301999999999"/>
    <n v="3582818"/>
  </r>
  <r>
    <x v="235"/>
    <n v="59.005580999999999"/>
    <x v="198"/>
    <n v="58.792976000000003"/>
    <n v="61.323326000000002"/>
    <n v="16.146576"/>
    <n v="7783612"/>
  </r>
  <r>
    <x v="236"/>
    <n v="61.110649000000002"/>
    <x v="199"/>
    <n v="60.983131"/>
    <n v="61.259529000000001"/>
    <n v="16.129771999999999"/>
    <n v="6538042"/>
  </r>
  <r>
    <x v="237"/>
    <n v="60.536574999999999"/>
    <x v="200"/>
    <n v="60.281395000000003"/>
    <n v="61.068145999999999"/>
    <n v="16.079386"/>
    <n v="3853333"/>
  </r>
  <r>
    <x v="238"/>
    <n v="60.600372"/>
    <x v="201"/>
    <n v="60.217601999999999"/>
    <n v="60.727955000000001"/>
    <n v="15.989811"/>
    <n v="1339348"/>
  </r>
  <r>
    <x v="239"/>
    <n v="61.004353000000002"/>
    <x v="149"/>
    <n v="61.004353000000002"/>
    <n v="61.429622999999999"/>
    <n v="16.174562000000002"/>
    <n v="5187872"/>
  </r>
  <r>
    <x v="240"/>
    <n v="60.812964999999998"/>
    <x v="202"/>
    <n v="60.812964999999998"/>
    <n v="62.471553999999998"/>
    <n v="16.448906000000001"/>
    <n v="3414497"/>
  </r>
  <r>
    <x v="241"/>
    <n v="62.599136000000001"/>
    <x v="203"/>
    <n v="61.302025"/>
    <n v="61.642302999999998"/>
    <n v="16.230564000000001"/>
    <n v="4070947"/>
  </r>
  <r>
    <x v="242"/>
    <n v="61.642302999999998"/>
    <x v="204"/>
    <n v="61.642302999999998"/>
    <n v="61.642302999999998"/>
    <n v="16.230564000000001"/>
    <n v="0"/>
  </r>
  <r>
    <x v="243"/>
    <n v="61.684803000000002"/>
    <x v="153"/>
    <n v="61.110649000000002"/>
    <n v="61.280822999999998"/>
    <n v="16.135386"/>
    <n v="3580413"/>
  </r>
  <r>
    <x v="244"/>
    <n v="61.238239"/>
    <x v="176"/>
    <n v="59.537230999999998"/>
    <n v="60.153796999999997"/>
    <n v="15.838634000000001"/>
    <n v="4209210"/>
  </r>
  <r>
    <x v="245"/>
    <n v="60.685375000000001"/>
    <x v="205"/>
    <n v="57.878642999999997"/>
    <n v="58.133823"/>
    <n v="15.30677"/>
    <n v="6623404"/>
  </r>
  <r>
    <x v="246"/>
    <n v="57.921230000000001"/>
    <x v="182"/>
    <n v="56.900500999999998"/>
    <n v="57.751052999999999"/>
    <n v="15.205988"/>
    <n v="6447870"/>
  </r>
  <r>
    <x v="247"/>
    <n v="58.218910000000001"/>
    <x v="206"/>
    <n v="57.410862000000002"/>
    <n v="57.432163000000003"/>
    <n v="15.122025000000001"/>
    <n v="4290965"/>
  </r>
  <r>
    <x v="248"/>
    <n v="57.921230000000001"/>
    <x v="138"/>
    <n v="57.836136000000003"/>
    <n v="58.197612999999997"/>
    <n v="15.323567000000001"/>
    <n v="2892704"/>
  </r>
  <r>
    <x v="249"/>
    <n v="58.686680000000003"/>
    <x v="207"/>
    <n v="57.028098999999997"/>
    <n v="57.113177999999998"/>
    <n v="15.038031"/>
    <n v="3409688"/>
  </r>
  <r>
    <x v="250"/>
    <n v="56.815505999999999"/>
    <x v="131"/>
    <n v="56.539116"/>
    <n v="56.964306000000001"/>
    <n v="14.998837"/>
    <n v="5278044"/>
  </r>
  <r>
    <x v="251"/>
    <n v="57.113177999999998"/>
    <x v="118"/>
    <n v="56.560326000000003"/>
    <n v="57.559753000000001"/>
    <n v="15.155618"/>
    <n v="4260908"/>
  </r>
  <r>
    <x v="252"/>
    <n v="57.198264999999999"/>
    <x v="208"/>
    <n v="55.752364999999998"/>
    <n v="56.368931000000003"/>
    <n v="14.842069"/>
    <n v="5174647"/>
  </r>
  <r>
    <x v="253"/>
    <n v="56.454025000000001"/>
    <x v="209"/>
    <n v="55.284508000000002"/>
    <n v="56.198849000000003"/>
    <n v="14.797291"/>
    <n v="3763161"/>
  </r>
  <r>
    <x v="254"/>
    <n v="56.645412"/>
    <x v="210"/>
    <n v="56.241432000000003"/>
    <n v="57.368358999999998"/>
    <n v="15.105224"/>
    <n v="3483028"/>
  </r>
  <r>
    <x v="255"/>
    <n v="57.198264999999999"/>
    <x v="141"/>
    <n v="56.390231999999997"/>
    <n v="56.390231999999997"/>
    <n v="14.84768"/>
    <n v="5954932"/>
  </r>
  <r>
    <x v="256"/>
    <n v="56.347729000000001"/>
    <x v="211"/>
    <n v="52.945549"/>
    <n v="53.392116999999999"/>
    <n v="14.058271"/>
    <n v="9546166"/>
  </r>
  <r>
    <x v="257"/>
    <n v="53.923682999999997"/>
    <x v="212"/>
    <n v="53.796084999999998"/>
    <n v="54.582836"/>
    <n v="14.371791"/>
    <n v="5142185"/>
  </r>
  <r>
    <x v="258"/>
    <n v="53.264519"/>
    <x v="213"/>
    <n v="52.009990999999999"/>
    <n v="52.201385000000002"/>
    <n v="13.744743"/>
    <n v="6212222"/>
  </r>
  <r>
    <x v="259"/>
    <n v="48.480311999999998"/>
    <x v="214"/>
    <n v="45.779881000000003"/>
    <n v="48.480311999999998"/>
    <n v="12.764979"/>
    <n v="14952855"/>
  </r>
  <r>
    <x v="260"/>
    <n v="49.543446000000003"/>
    <x v="215"/>
    <n v="49.415863000000002"/>
    <n v="50.2239"/>
    <n v="13.224069999999999"/>
    <n v="7128365"/>
  </r>
  <r>
    <x v="261"/>
    <n v="48.735492999999998"/>
    <x v="60"/>
    <n v="46.821728"/>
    <n v="48.416519000000001"/>
    <n v="12.748181000000001"/>
    <n v="9498075"/>
  </r>
  <r>
    <x v="262"/>
    <n v="48.692909"/>
    <x v="216"/>
    <n v="48.055042"/>
    <n v="49.24577"/>
    <n v="12.966525000000001"/>
    <n v="7919471"/>
  </r>
  <r>
    <x v="263"/>
    <n v="49.968727000000001"/>
    <x v="217"/>
    <n v="49.968727000000001"/>
    <n v="50.904266"/>
    <n v="13.403214"/>
    <n v="5134972"/>
  </r>
  <r>
    <x v="264"/>
    <n v="51.244534000000002"/>
    <x v="218"/>
    <n v="49.819842999999999"/>
    <n v="49.883628999999999"/>
    <n v="13.134475999999999"/>
    <n v="4741823"/>
  </r>
  <r>
    <x v="265"/>
    <n v="50.457787000000003"/>
    <x v="219"/>
    <n v="49.862426999999997"/>
    <n v="49.968727000000001"/>
    <n v="13.156882"/>
    <n v="3795623"/>
  </r>
  <r>
    <x v="266"/>
    <n v="49.841137000000003"/>
    <x v="220"/>
    <n v="48.820498999999998"/>
    <n v="49.203270000000003"/>
    <n v="12.955337999999999"/>
    <n v="2581312"/>
  </r>
  <r>
    <x v="267"/>
    <n v="48.480311999999998"/>
    <x v="221"/>
    <n v="46.991894000000002"/>
    <n v="47.629767999999999"/>
    <n v="12.541031"/>
    <n v="6479130"/>
  </r>
  <r>
    <x v="268"/>
    <n v="47.629767999999999"/>
    <x v="222"/>
    <n v="46.460251"/>
    <n v="46.651626999999998"/>
    <n v="12.283484"/>
    <n v="4674495"/>
  </r>
  <r>
    <x v="269"/>
    <n v="46.353951000000002"/>
    <x v="223"/>
    <n v="46.247653999999997"/>
    <n v="47.332076999999998"/>
    <n v="12.462643"/>
    <n v="7012945"/>
  </r>
  <r>
    <x v="270"/>
    <n v="46.481541"/>
    <x v="224"/>
    <n v="46.22636"/>
    <n v="47.204487"/>
    <n v="12.42905"/>
    <n v="5635123"/>
  </r>
  <r>
    <x v="271"/>
    <n v="46.779223999999999"/>
    <x v="225"/>
    <n v="46.779223999999999"/>
    <n v="48.544102000000002"/>
    <n v="12.781775"/>
    <n v="5397070"/>
  </r>
  <r>
    <x v="272"/>
    <n v="48.905579000000003"/>
    <x v="226"/>
    <n v="47.417090999999999"/>
    <n v="47.459674999999997"/>
    <n v="12.496243"/>
    <n v="6777297"/>
  </r>
  <r>
    <x v="273"/>
    <n v="48.820498999999998"/>
    <x v="227"/>
    <n v="48.777988000000001"/>
    <n v="49.947432999999997"/>
    <n v="13.151272000000001"/>
    <n v="5881592"/>
  </r>
  <r>
    <x v="274"/>
    <n v="49.883628999999999"/>
    <x v="228"/>
    <n v="49.607246000000004"/>
    <n v="50.053814000000003"/>
    <n v="13.179281"/>
    <n v="4165927"/>
  </r>
  <r>
    <x v="275"/>
    <n v="49.330849000000001"/>
    <x v="229"/>
    <n v="48.905579000000003"/>
    <n v="50.372706999999998"/>
    <n v="13.263249"/>
    <n v="3575604"/>
  </r>
  <r>
    <x v="276"/>
    <n v="50.819271000000001"/>
    <x v="230"/>
    <n v="50.308909999999997"/>
    <n v="50.564082999999997"/>
    <n v="13.313637999999999"/>
    <n v="4240469"/>
  </r>
  <r>
    <x v="277"/>
    <n v="51.244534000000002"/>
    <x v="231"/>
    <n v="50.691681000000003"/>
    <n v="50.861773999999997"/>
    <n v="13.392022000000001"/>
    <n v="4938999"/>
  </r>
  <r>
    <x v="278"/>
    <n v="51.031863999999999"/>
    <x v="232"/>
    <n v="48.926796000000003"/>
    <n v="49.160682999999999"/>
    <n v="12.944122"/>
    <n v="2908334"/>
  </r>
  <r>
    <x v="279"/>
    <n v="48.905579000000003"/>
    <x v="233"/>
    <n v="48.905579000000003"/>
    <n v="50.117516000000002"/>
    <n v="13.196058000000001"/>
    <n v="871658"/>
  </r>
  <r>
    <x v="280"/>
    <n v="50.819271000000001"/>
    <x v="234"/>
    <n v="50.819271000000001"/>
    <n v="52.732956000000001"/>
    <n v="13.884712"/>
    <n v="1917649"/>
  </r>
  <r>
    <x v="281"/>
    <n v="53.158217999999998"/>
    <x v="235"/>
    <n v="53.094433000000002"/>
    <n v="53.136929000000002"/>
    <n v="13.991078999999999"/>
    <n v="896906"/>
  </r>
  <r>
    <x v="282"/>
    <n v="53.307026"/>
    <x v="236"/>
    <n v="52.413978999999998"/>
    <n v="53.370815"/>
    <n v="14.052659"/>
    <n v="964234"/>
  </r>
  <r>
    <x v="283"/>
    <n v="53.796084999999998"/>
    <x v="80"/>
    <n v="53.796084999999998"/>
    <n v="55.497185000000002"/>
    <n v="14.612538000000001"/>
    <n v="1763756"/>
  </r>
  <r>
    <x v="284"/>
    <n v="55.624775"/>
    <x v="237"/>
    <n v="54.646633000000001"/>
    <n v="54.774231"/>
    <n v="14.422183"/>
    <n v="1209501"/>
  </r>
  <r>
    <x v="285"/>
    <n v="54.710433999999999"/>
    <x v="238"/>
    <n v="54.200156999999997"/>
    <n v="54.200156999999997"/>
    <n v="14.271029"/>
    <n v="902918"/>
  </r>
  <r>
    <x v="286"/>
    <n v="54.47654"/>
    <x v="79"/>
    <n v="53.923682999999997"/>
    <n v="54.434035999999999"/>
    <n v="14.332608"/>
    <n v="1235952"/>
  </r>
  <r>
    <x v="287"/>
    <n v="54.115062999999999"/>
    <x v="239"/>
    <n v="53.689788999999998"/>
    <n v="54.434035999999999"/>
    <n v="14.332608"/>
    <n v="923357"/>
  </r>
  <r>
    <x v="288"/>
    <n v="54.434035999999999"/>
    <x v="240"/>
    <n v="54.178863999999997"/>
    <n v="54.434035999999999"/>
    <n v="14.332608"/>
    <n v="759846"/>
  </r>
  <r>
    <x v="289"/>
    <n v="54.412754"/>
    <x v="239"/>
    <n v="53.519706999999997"/>
    <n v="53.923682999999997"/>
    <n v="14.198232000000001"/>
    <n v="434025"/>
  </r>
  <r>
    <x v="290"/>
    <n v="54.008761999999997"/>
    <x v="241"/>
    <n v="53.243232999999996"/>
    <n v="53.243232999999996"/>
    <n v="14.019069"/>
    <n v="367900"/>
  </r>
  <r>
    <x v="291"/>
    <n v="51.924903999999998"/>
    <x v="242"/>
    <n v="51.563426999999997"/>
    <n v="52.243881000000002"/>
    <n v="13.755934999999999"/>
    <n v="978662"/>
  </r>
  <r>
    <x v="292"/>
    <n v="52.137580999999997"/>
    <x v="243"/>
    <n v="51.691017000000002"/>
    <n v="51.903694000000002"/>
    <n v="13.666361999999999"/>
    <n v="617976"/>
  </r>
  <r>
    <x v="293"/>
    <n v="52.307682"/>
    <x v="234"/>
    <n v="52.095089000000002"/>
    <n v="52.520279000000002"/>
    <n v="13.828716"/>
    <n v="694922"/>
  </r>
  <r>
    <x v="294"/>
    <n v="53.030628"/>
    <x v="244"/>
    <n v="52.307682"/>
    <n v="53.498412999999999"/>
    <n v="14.086252999999999"/>
    <n v="989483"/>
  </r>
  <r>
    <x v="295"/>
    <n v="53.370815"/>
    <x v="245"/>
    <n v="53.158217999999998"/>
    <n v="53.370815"/>
    <n v="14.052659"/>
    <n v="1074845"/>
  </r>
  <r>
    <x v="296"/>
    <n v="53.158217999999998"/>
    <x v="246"/>
    <n v="52.541569000000003"/>
    <n v="52.860545999999999"/>
    <n v="13.918303999999999"/>
    <n v="801926"/>
  </r>
  <r>
    <x v="297"/>
    <n v="51.627231999999999"/>
    <x v="247"/>
    <n v="49.075679999999998"/>
    <n v="49.267063"/>
    <n v="12.972132999999999"/>
    <n v="1685607"/>
  </r>
  <r>
    <x v="298"/>
    <n v="49.756129999999999"/>
    <x v="228"/>
    <n v="48.182631999999998"/>
    <n v="50.585377000000001"/>
    <n v="13.319246"/>
    <n v="946200"/>
  </r>
  <r>
    <x v="299"/>
    <n v="50.734183999999999"/>
    <x v="248"/>
    <n v="50.734183999999999"/>
    <n v="51.797398000000001"/>
    <n v="13.63838"/>
    <n v="703338"/>
  </r>
  <r>
    <x v="300"/>
    <n v="51.797398000000001"/>
    <x v="248"/>
    <n v="51.797398000000001"/>
    <n v="51.797398000000001"/>
    <n v="13.63838"/>
    <n v="0"/>
  </r>
  <r>
    <x v="301"/>
    <n v="51.797398000000001"/>
    <x v="248"/>
    <n v="51.797398000000001"/>
    <n v="51.797398000000001"/>
    <n v="13.63838"/>
    <n v="0"/>
  </r>
  <r>
    <x v="302"/>
    <n v="51.797398000000001"/>
    <x v="248"/>
    <n v="51.797398000000001"/>
    <n v="51.797398000000001"/>
    <n v="13.63838"/>
    <n v="0"/>
  </r>
  <r>
    <x v="303"/>
    <n v="51.244534000000002"/>
    <x v="249"/>
    <n v="51.031863999999999"/>
    <n v="52.775458999999998"/>
    <n v="13.895899999999999"/>
    <n v="928166"/>
  </r>
  <r>
    <x v="304"/>
    <n v="53.200729000000003"/>
    <x v="250"/>
    <n v="53.200729000000003"/>
    <n v="53.583492"/>
    <n v="14.108658999999999"/>
    <n v="680495"/>
  </r>
  <r>
    <x v="305"/>
    <n v="53.583492"/>
    <x v="244"/>
    <n v="53.583492"/>
    <n v="53.583492"/>
    <n v="14.108658999999999"/>
    <n v="0"/>
  </r>
  <r>
    <x v="306"/>
    <n v="53.583492"/>
    <x v="244"/>
    <n v="53.583492"/>
    <n v="53.583492"/>
    <n v="14.108658999999999"/>
    <n v="0"/>
  </r>
  <r>
    <x v="307"/>
    <n v="54.47654"/>
    <x v="251"/>
    <n v="54.47654"/>
    <n v="56.028754999999997"/>
    <n v="14.752503000000001"/>
    <n v="1213108"/>
  </r>
  <r>
    <x v="308"/>
    <n v="55.709781999999997"/>
    <x v="252"/>
    <n v="55.709781999999997"/>
    <n v="57.283279"/>
    <n v="15.08282"/>
    <n v="1813050"/>
  </r>
  <r>
    <x v="309"/>
    <n v="57.410862000000002"/>
    <x v="118"/>
    <n v="56.092548000000001"/>
    <n v="56.645412"/>
    <n v="14.914870000000001"/>
    <n v="1173433"/>
  </r>
  <r>
    <x v="310"/>
    <n v="56.517814999999999"/>
    <x v="128"/>
    <n v="56.028754999999997"/>
    <n v="56.560326000000003"/>
    <n v="14.892467"/>
    <n v="1278032"/>
  </r>
  <r>
    <x v="311"/>
    <n v="56.985596000000001"/>
    <x v="253"/>
    <n v="54.646633000000001"/>
    <n v="54.689132999999998"/>
    <n v="14.399777"/>
    <n v="1187860"/>
  </r>
  <r>
    <x v="312"/>
    <n v="54.263863000000001"/>
    <x v="254"/>
    <n v="52.945549"/>
    <n v="53.243232999999996"/>
    <n v="14.019069"/>
    <n v="1488432"/>
  </r>
  <r>
    <x v="313"/>
    <n v="50.776767999999997"/>
    <x v="255"/>
    <n v="50.521586999999997"/>
    <n v="51.882407999999998"/>
    <n v="13.66076"/>
    <n v="1150589"/>
  </r>
  <r>
    <x v="314"/>
    <n v="52.690444999999997"/>
    <x v="256"/>
    <n v="51.563426999999997"/>
    <n v="51.584721000000002"/>
    <n v="13.582376999999999"/>
    <n v="1202288"/>
  </r>
  <r>
    <x v="315"/>
    <n v="52.307682"/>
    <x v="257"/>
    <n v="51.542225000000002"/>
    <n v="51.669815"/>
    <n v="13.604784"/>
    <n v="762250"/>
  </r>
  <r>
    <x v="316"/>
    <n v="51.287044999999999"/>
    <x v="74"/>
    <n v="50.904266"/>
    <n v="51.584721000000002"/>
    <n v="13.582376999999999"/>
    <n v="619178"/>
  </r>
  <r>
    <x v="317"/>
    <n v="52.860545999999999"/>
    <x v="258"/>
    <n v="52.626658999999997"/>
    <n v="53.370815"/>
    <n v="14.052659"/>
    <n v="1210704"/>
  </r>
  <r>
    <x v="318"/>
    <n v="54.221359"/>
    <x v="245"/>
    <n v="52.881756000000003"/>
    <n v="53.158217999999998"/>
    <n v="13.996681000000001"/>
    <n v="1347764"/>
  </r>
  <r>
    <x v="319"/>
    <n v="53.094433000000002"/>
    <x v="244"/>
    <n v="52.562862000000003"/>
    <n v="52.775458999999998"/>
    <n v="13.895899999999999"/>
    <n v="1048395"/>
  </r>
  <r>
    <x v="320"/>
    <n v="53.115726000000002"/>
    <x v="259"/>
    <n v="51.882407999999998"/>
    <n v="51.924903999999998"/>
    <n v="13.671946999999999"/>
    <n v="985876"/>
  </r>
  <r>
    <x v="321"/>
    <n v="51.244534000000002"/>
    <x v="215"/>
    <n v="50.2239"/>
    <n v="51.329540000000001"/>
    <n v="13.515186999999999"/>
    <n v="1591829"/>
  </r>
  <r>
    <x v="322"/>
    <n v="51.244534000000002"/>
    <x v="260"/>
    <n v="50.606594000000001"/>
    <n v="50.861773999999997"/>
    <n v="13.392022000000001"/>
    <n v="825971"/>
  </r>
  <r>
    <x v="323"/>
    <n v="50.819271000000001"/>
    <x v="217"/>
    <n v="49.841137000000003"/>
    <n v="51.053158000000003"/>
    <n v="13.442413999999999"/>
    <n v="1088070"/>
  </r>
  <r>
    <x v="324"/>
    <n v="51.201957999999998"/>
    <x v="261"/>
    <n v="50.521586999999997"/>
    <n v="50.989364999999999"/>
    <n v="13.42562"/>
    <n v="1258795"/>
  </r>
  <r>
    <x v="325"/>
    <n v="51.457129999999999"/>
    <x v="262"/>
    <n v="51.414634999999997"/>
    <n v="52.158797999999997"/>
    <n v="13.733535"/>
    <n v="1938088"/>
  </r>
  <r>
    <x v="326"/>
    <n v="52.647869"/>
    <x v="263"/>
    <n v="52.307682"/>
    <n v="53.796084999999998"/>
    <n v="14.164634"/>
    <n v="1813050"/>
  </r>
  <r>
    <x v="327"/>
    <n v="53.923682999999997"/>
    <x v="264"/>
    <n v="53.753585999999999"/>
    <n v="54.434035999999999"/>
    <n v="14.332608"/>
    <n v="1434329"/>
  </r>
  <r>
    <x v="328"/>
    <n v="54.646633000000001"/>
    <x v="101"/>
    <n v="54.348956999999999"/>
    <n v="55.114407"/>
    <n v="14.511752"/>
    <n v="1151791"/>
  </r>
  <r>
    <x v="329"/>
    <n v="55.178210999999997"/>
    <x v="96"/>
    <n v="54.689132999999998"/>
    <n v="56.262633999999998"/>
    <n v="14.814086"/>
    <n v="1905626"/>
  </r>
  <r>
    <x v="330"/>
    <n v="56.751708999999998"/>
    <x v="128"/>
    <n v="55.071911"/>
    <n v="55.645977000000002"/>
    <n v="14.651714999999999"/>
    <n v="2494747"/>
  </r>
  <r>
    <x v="331"/>
    <n v="55.327083999999999"/>
    <x v="265"/>
    <n v="55.156993999999997"/>
    <n v="55.263289999999998"/>
    <n v="14.550951"/>
    <n v="1581008"/>
  </r>
  <r>
    <x v="332"/>
    <n v="55.709781999999997"/>
    <x v="266"/>
    <n v="55.071911"/>
    <n v="55.412098"/>
    <n v="14.590137"/>
    <n v="854826"/>
  </r>
  <r>
    <x v="333"/>
    <n v="55.964958000000003"/>
    <x v="185"/>
    <n v="54.604137000000001"/>
    <n v="54.731720000000003"/>
    <n v="14.41099"/>
    <n v="1632707"/>
  </r>
  <r>
    <x v="334"/>
    <n v="54.81673"/>
    <x v="267"/>
    <n v="54.370243000000002"/>
    <n v="54.859318000000002"/>
    <n v="14.444587"/>
    <n v="1118127"/>
  </r>
  <r>
    <x v="335"/>
    <n v="55.071911"/>
    <x v="268"/>
    <n v="54.646633000000001"/>
    <n v="55.093204"/>
    <n v="14.506168000000001"/>
    <n v="1689214"/>
  </r>
  <r>
    <x v="336"/>
    <n v="55.156993999999997"/>
    <x v="269"/>
    <n v="55.135708000000001"/>
    <n v="55.156993999999997"/>
    <n v="14.522964"/>
    <n v="1266009"/>
  </r>
  <r>
    <x v="337"/>
    <n v="55.518470999999998"/>
    <x v="194"/>
    <n v="54.944313000000001"/>
    <n v="55.029411000000003"/>
    <n v="14.489374"/>
    <n v="1000303"/>
  </r>
  <r>
    <x v="338"/>
    <n v="54.986823999999999"/>
    <x v="212"/>
    <n v="54.986823999999999"/>
    <n v="55.709781999999997"/>
    <n v="14.668516"/>
    <n v="627594"/>
  </r>
  <r>
    <x v="339"/>
    <n v="55.901156999999998"/>
    <x v="270"/>
    <n v="55.901156999999998"/>
    <n v="57.559753000000001"/>
    <n v="15.155618"/>
    <n v="3485432"/>
  </r>
  <r>
    <x v="340"/>
    <n v="57.580952000000003"/>
    <x v="120"/>
    <n v="57.304564999999997"/>
    <n v="57.623539000000001"/>
    <n v="15.172415000000001"/>
    <n v="2792915"/>
  </r>
  <r>
    <x v="341"/>
    <n v="57.836136000000003"/>
    <x v="271"/>
    <n v="56.560326000000003"/>
    <n v="56.900500999999998"/>
    <n v="14.982034000000001"/>
    <n v="1269616"/>
  </r>
  <r>
    <x v="342"/>
    <n v="56.815505999999999"/>
    <x v="272"/>
    <n v="56.815505999999999"/>
    <n v="57.091892000000001"/>
    <n v="15.03243"/>
    <n v="822364"/>
  </r>
  <r>
    <x v="343"/>
    <n v="57.623539000000001"/>
    <x v="95"/>
    <n v="57.559753000000001"/>
    <n v="57.708553000000002"/>
    <n v="15.194796999999999"/>
    <n v="1731294"/>
  </r>
  <r>
    <x v="344"/>
    <n v="57.580952000000003"/>
    <x v="142"/>
    <n v="57.410862000000002"/>
    <n v="58.027526999999999"/>
    <n v="15.278782"/>
    <n v="1286448"/>
  </r>
  <r>
    <x v="345"/>
    <n v="58.176327000000001"/>
    <x v="273"/>
    <n v="57.580952000000003"/>
    <n v="59.239547999999999"/>
    <n v="15.597911"/>
    <n v="2227839"/>
  </r>
  <r>
    <x v="346"/>
    <n v="59.537230999999998"/>
    <x v="274"/>
    <n v="59.430850999999997"/>
    <n v="61.280822999999998"/>
    <n v="16.135386"/>
    <n v="3015338"/>
  </r>
  <r>
    <x v="347"/>
    <n v="62.173870000000001"/>
    <x v="275"/>
    <n v="62.088776000000003"/>
    <n v="62.875526000000001"/>
    <n v="16.555273"/>
    <n v="3214918"/>
  </r>
  <r>
    <x v="348"/>
    <n v="63.109420999999998"/>
    <x v="276"/>
    <n v="63.066916999999997"/>
    <n v="63.768574000000001"/>
    <n v="16.790414999999999"/>
    <n v="2451465"/>
  </r>
  <r>
    <x v="349"/>
    <n v="63.704777"/>
    <x v="277"/>
    <n v="63.258305"/>
    <n v="64.767914000000005"/>
    <n v="17.053540999999999"/>
    <n v="3307494"/>
  </r>
  <r>
    <x v="350"/>
    <n v="64.980598000000001"/>
    <x v="278"/>
    <n v="64.853012000000007"/>
    <n v="65.575965999999994"/>
    <n v="17.266302"/>
    <n v="3902626"/>
  </r>
  <r>
    <x v="351"/>
    <n v="65.065680999999998"/>
    <x v="279"/>
    <n v="63.577193999999999"/>
    <n v="66.043739000000002"/>
    <n v="17.389471"/>
    <n v="3974764"/>
  </r>
  <r>
    <x v="352"/>
    <n v="66.554091999999997"/>
    <x v="280"/>
    <n v="66.128822"/>
    <n v="67.829918000000006"/>
    <n v="17.859774000000002"/>
    <n v="4531423"/>
  </r>
  <r>
    <x v="353"/>
    <n v="68.063796999999994"/>
    <x v="281"/>
    <n v="67.829918000000006"/>
    <n v="70.466560000000001"/>
    <n v="18.554012"/>
    <n v="3490242"/>
  </r>
  <r>
    <x v="354"/>
    <n v="70.381461999999999"/>
    <x v="282"/>
    <n v="68.722969000000006"/>
    <n v="69.722313"/>
    <n v="18.358046999999999"/>
    <n v="2263908"/>
  </r>
  <r>
    <x v="355"/>
    <n v="73.358367999999999"/>
    <x v="283"/>
    <n v="68.893058999999994"/>
    <n v="69.743599000000003"/>
    <n v="18.363651000000001"/>
    <n v="5023159"/>
  </r>
  <r>
    <x v="356"/>
    <n v="70.168869000000001"/>
    <x v="284"/>
    <n v="67.829918000000006"/>
    <n v="69.212029000000001"/>
    <n v="18.223687999999999"/>
    <n v="2506770"/>
  </r>
  <r>
    <x v="357"/>
    <n v="69.658516000000006"/>
    <x v="285"/>
    <n v="68.212608000000003"/>
    <n v="68.467788999999996"/>
    <n v="18.027726999999999"/>
    <n v="1627897"/>
  </r>
  <r>
    <x v="358"/>
    <n v="68.680381999999994"/>
    <x v="286"/>
    <n v="68.340187"/>
    <n v="69.063141000000002"/>
    <n v="18.184488000000002"/>
    <n v="1339348"/>
  </r>
  <r>
    <x v="359"/>
    <n v="70.934334000000007"/>
    <x v="287"/>
    <n v="70.806740000000005"/>
    <n v="71.061913000000004"/>
    <n v="18.71077"/>
    <n v="1719271"/>
  </r>
  <r>
    <x v="360"/>
    <n v="71.125716999999995"/>
    <x v="288"/>
    <n v="69.743599000000003"/>
    <n v="70.551567000000006"/>
    <n v="18.576391000000001"/>
    <n v="1712058"/>
  </r>
  <r>
    <x v="361"/>
    <n v="70.998123000000007"/>
    <x v="289"/>
    <n v="70.551567000000006"/>
    <n v="70.551567000000006"/>
    <n v="18.576391000000001"/>
    <n v="1044788"/>
  </r>
  <r>
    <x v="362"/>
    <n v="71.061913000000004"/>
    <x v="290"/>
    <n v="70.976837000000003"/>
    <n v="72.188857999999996"/>
    <n v="19.007496"/>
    <n v="1952515"/>
  </r>
  <r>
    <x v="363"/>
    <n v="73.145698999999993"/>
    <x v="291"/>
    <n v="71.274512999999999"/>
    <n v="73.145698999999993"/>
    <n v="19.259436000000001"/>
    <n v="1789004"/>
  </r>
  <r>
    <x v="364"/>
    <n v="72.614136000000002"/>
    <x v="292"/>
    <n v="72.444038000000006"/>
    <n v="73.783562000000003"/>
    <n v="19.427382000000001"/>
    <n v="1976561"/>
  </r>
  <r>
    <x v="365"/>
    <n v="74.208832000000001"/>
    <x v="293"/>
    <n v="73.656058999999999"/>
    <n v="74.038749999999993"/>
    <n v="19.494575999999999"/>
    <n v="2285549"/>
  </r>
  <r>
    <x v="366"/>
    <n v="73.953734999999995"/>
    <x v="294"/>
    <n v="71.635986000000003"/>
    <n v="72.444038000000006"/>
    <n v="19.074684000000001"/>
    <n v="2083565"/>
  </r>
  <r>
    <x v="367"/>
    <n v="72.507835"/>
    <x v="295"/>
    <n v="71.912468000000004"/>
    <n v="72.635329999999996"/>
    <n v="19.125050999999999"/>
    <n v="1900817"/>
  </r>
  <r>
    <x v="368"/>
    <n v="73.039406"/>
    <x v="296"/>
    <n v="71.232017999999997"/>
    <n v="72.337661999999995"/>
    <n v="19.046679000000001"/>
    <n v="983471"/>
  </r>
  <r>
    <x v="369"/>
    <n v="72.890511000000004"/>
    <x v="297"/>
    <n v="71.444610999999995"/>
    <n v="72.401450999999994"/>
    <n v="19.063471"/>
    <n v="1601447"/>
  </r>
  <r>
    <x v="370"/>
    <n v="72.295158000000001"/>
    <x v="298"/>
    <n v="72.082565000000002"/>
    <n v="72.805519000000004"/>
    <n v="19.169862999999999"/>
    <n v="1460779"/>
  </r>
  <r>
    <x v="371"/>
    <n v="72.720427999999998"/>
    <x v="299"/>
    <n v="72.720427999999998"/>
    <n v="74.081253000000004"/>
    <n v="19.505769999999998"/>
    <n v="2834995"/>
  </r>
  <r>
    <x v="372"/>
    <n v="74.676604999999995"/>
    <x v="300"/>
    <n v="74.634101999999999"/>
    <n v="77.759818999999993"/>
    <n v="20.474339000000001"/>
    <n v="3543142"/>
  </r>
  <r>
    <x v="373"/>
    <n v="77.993697999999995"/>
    <x v="301"/>
    <n v="77.887405000000001"/>
    <n v="81.098206000000005"/>
    <n v="21.353352000000001"/>
    <n v="3182456"/>
  </r>
  <r>
    <x v="374"/>
    <n v="81.013114999999999"/>
    <x v="302"/>
    <n v="79.312027"/>
    <n v="80.120070999999996"/>
    <n v="21.095797000000001"/>
    <n v="2397362"/>
  </r>
  <r>
    <x v="375"/>
    <n v="80.757926999999995"/>
    <x v="303"/>
    <n v="78.078789"/>
    <n v="78.567856000000006"/>
    <n v="20.687093999999998"/>
    <n v="2660663"/>
  </r>
  <r>
    <x v="376"/>
    <n v="78.248878000000005"/>
    <x v="304"/>
    <n v="77.653525999999999"/>
    <n v="80.609131000000005"/>
    <n v="21.224572999999999"/>
    <n v="3041788"/>
  </r>
  <r>
    <x v="377"/>
    <n v="80.609131000000005"/>
    <x v="305"/>
    <n v="80.609131000000005"/>
    <n v="80.609131000000005"/>
    <n v="21.224572999999999"/>
    <n v="0"/>
  </r>
  <r>
    <x v="378"/>
    <n v="80.609131000000005"/>
    <x v="305"/>
    <n v="80.609131000000005"/>
    <n v="80.609131000000005"/>
    <n v="21.224572999999999"/>
    <n v="0"/>
  </r>
  <r>
    <x v="379"/>
    <n v="81.523476000000002"/>
    <x v="306"/>
    <n v="81.523476000000002"/>
    <n v="82.926795999999996"/>
    <n v="21.834824000000001"/>
    <n v="3332742"/>
  </r>
  <r>
    <x v="380"/>
    <n v="83.522414999999995"/>
    <x v="307"/>
    <n v="81.076903999999999"/>
    <n v="81.395882"/>
    <n v="21.431726000000001"/>
    <n v="1974156"/>
  </r>
  <r>
    <x v="381"/>
    <n v="81.650986000000003"/>
    <x v="308"/>
    <n v="79.5672"/>
    <n v="80.800522000000001"/>
    <n v="21.27496"/>
    <n v="2043889"/>
  </r>
  <r>
    <x v="382"/>
    <n v="80.587845000000002"/>
    <x v="309"/>
    <n v="78.929337000000004"/>
    <n v="79.992476999999994"/>
    <n v="21.062201999999999"/>
    <n v="1992191"/>
  </r>
  <r>
    <x v="383"/>
    <n v="80.970618999999999"/>
    <x v="303"/>
    <n v="79.099434000000002"/>
    <n v="79.439621000000002"/>
    <n v="20.916637000000001"/>
    <n v="1673584"/>
  </r>
  <r>
    <x v="384"/>
    <n v="79.631004000000004"/>
    <x v="310"/>
    <n v="77.313338999999999"/>
    <n v="78.248878000000005"/>
    <n v="20.603114999999999"/>
    <n v="2233851"/>
  </r>
  <r>
    <x v="385"/>
    <n v="77.823607999999993"/>
    <x v="311"/>
    <n v="76.951858999999999"/>
    <n v="77.270752000000002"/>
    <n v="20.345568"/>
    <n v="1443947"/>
  </r>
  <r>
    <x v="386"/>
    <n v="77.313338999999999"/>
    <x v="312"/>
    <n v="74.953079000000002"/>
    <n v="76.973067999999998"/>
    <n v="20.267182999999999"/>
    <n v="2526007"/>
  </r>
  <r>
    <x v="387"/>
    <n v="76.547798"/>
    <x v="313"/>
    <n v="75.484656999999999"/>
    <n v="76.824264999999997"/>
    <n v="20.228012"/>
    <n v="1964538"/>
  </r>
  <r>
    <x v="388"/>
    <n v="76.143805999999998"/>
    <x v="314"/>
    <n v="74.549109999999999"/>
    <n v="74.740402000000003"/>
    <n v="19.679324999999999"/>
    <n v="2150893"/>
  </r>
  <r>
    <x v="389"/>
    <n v="75.272064"/>
    <x v="315"/>
    <n v="74.549109999999999"/>
    <n v="75.229477000000003"/>
    <n v="19.8081"/>
    <n v="2096790"/>
  </r>
  <r>
    <x v="390"/>
    <n v="75.272064"/>
    <x v="316"/>
    <n v="74.527809000000005"/>
    <n v="74.889281999999994"/>
    <n v="19.718527000000002"/>
    <n v="1787802"/>
  </r>
  <r>
    <x v="391"/>
    <n v="75.272064"/>
    <x v="317"/>
    <n v="74.187629999999999"/>
    <n v="75.633529999999993"/>
    <n v="19.914486"/>
    <n v="1754138"/>
  </r>
  <r>
    <x v="392"/>
    <n v="75.633529999999993"/>
    <x v="318"/>
    <n v="75.633529999999993"/>
    <n v="75.633529999999993"/>
    <n v="19.914486"/>
    <n v="0"/>
  </r>
  <r>
    <x v="393"/>
    <n v="76.292702000000006"/>
    <x v="319"/>
    <n v="76.122528000000003"/>
    <n v="77.568427999999997"/>
    <n v="20.423946000000001"/>
    <n v="2625796"/>
  </r>
  <r>
    <x v="394"/>
    <n v="77.759818999999993"/>
    <x v="320"/>
    <n v="75.803635"/>
    <n v="75.888641000000007"/>
    <n v="19.981656999999998"/>
    <n v="2313202"/>
  </r>
  <r>
    <x v="395"/>
    <n v="79.524704"/>
    <x v="321"/>
    <n v="78.206383000000002"/>
    <n v="82.246337999999994"/>
    <n v="21.655650999999999"/>
    <n v="10640248"/>
  </r>
  <r>
    <x v="396"/>
    <n v="84.202788999999996"/>
    <x v="322"/>
    <n v="84.202788999999996"/>
    <n v="85.052834000000004"/>
    <n v="22.394611000000001"/>
    <n v="12413623"/>
  </r>
  <r>
    <x v="397"/>
    <n v="83.139481000000004"/>
    <x v="323"/>
    <n v="83.139481000000004"/>
    <n v="83.862601999999995"/>
    <n v="22.081216999999999"/>
    <n v="10000631"/>
  </r>
  <r>
    <x v="398"/>
    <n v="85.521102999999997"/>
    <x v="324"/>
    <n v="84.542968999999999"/>
    <n v="84.840736000000007"/>
    <n v="22.338764000000001"/>
    <n v="5472814"/>
  </r>
  <r>
    <x v="399"/>
    <n v="84.202788999999996"/>
    <x v="325"/>
    <n v="82.288925000000006"/>
    <n v="82.586617000000004"/>
    <n v="21.745251"/>
    <n v="4264515"/>
  </r>
  <r>
    <x v="400"/>
    <n v="81.948668999999995"/>
    <x v="326"/>
    <n v="80.715423999999999"/>
    <n v="80.800522000000001"/>
    <n v="21.27496"/>
    <n v="6120848"/>
  </r>
  <r>
    <x v="401"/>
    <n v="82.501518000000004"/>
    <x v="327"/>
    <n v="81.162002999999999"/>
    <n v="81.969954999999999"/>
    <n v="21.582882000000001"/>
    <n v="5231155"/>
  </r>
  <r>
    <x v="402"/>
    <n v="81.991257000000004"/>
    <x v="328"/>
    <n v="81.013114999999999"/>
    <n v="81.438384999999997"/>
    <n v="21.442919"/>
    <n v="3409688"/>
  </r>
  <r>
    <x v="403"/>
    <n v="81.650986000000003"/>
    <x v="329"/>
    <n v="79.737296999999998"/>
    <n v="79.864883000000006"/>
    <n v="21.028606"/>
    <n v="3487837"/>
  </r>
  <r>
    <x v="404"/>
    <n v="80.077560000000005"/>
    <x v="330"/>
    <n v="80.077560000000005"/>
    <n v="81.650986000000003"/>
    <n v="21.498895999999998"/>
    <n v="4572301"/>
  </r>
  <r>
    <x v="405"/>
    <n v="81.650986000000003"/>
    <x v="331"/>
    <n v="81.353294000000005"/>
    <n v="82.586617000000004"/>
    <n v="21.745251"/>
    <n v="5980180"/>
  </r>
  <r>
    <x v="406"/>
    <n v="82.586617000000004"/>
    <x v="332"/>
    <n v="82.586617000000004"/>
    <n v="82.586617000000004"/>
    <n v="21.745251"/>
    <n v="0"/>
  </r>
  <r>
    <x v="407"/>
    <n v="82.714195000000004"/>
    <x v="333"/>
    <n v="81.650986000000003"/>
    <n v="81.821151999999998"/>
    <n v="21.543700999999999"/>
    <n v="4737014"/>
  </r>
  <r>
    <x v="408"/>
    <n v="82.076248000000007"/>
    <x v="334"/>
    <n v="81.863654999999994"/>
    <n v="84.03228"/>
    <n v="22.125893000000001"/>
    <n v="4194782"/>
  </r>
  <r>
    <x v="409"/>
    <n v="84.627808000000002"/>
    <x v="335"/>
    <n v="84.202788999999996"/>
    <n v="84.414878999999999"/>
    <n v="22.226635000000002"/>
    <n v="7348384"/>
  </r>
  <r>
    <x v="410"/>
    <n v="83.351906"/>
    <x v="336"/>
    <n v="82.926795999999996"/>
    <n v="82.926795999999996"/>
    <n v="21.834824000000001"/>
    <n v="8549469"/>
  </r>
  <r>
    <x v="411"/>
    <n v="74.421509"/>
    <x v="337"/>
    <n v="74.421509"/>
    <n v="75.442154000000002"/>
    <n v="19.864090000000001"/>
    <n v="17710904"/>
  </r>
  <r>
    <x v="412"/>
    <n v="76.207603000000006"/>
    <x v="338"/>
    <n v="75.633529999999993"/>
    <n v="75.633529999999993"/>
    <n v="19.914486"/>
    <n v="6063138"/>
  </r>
  <r>
    <x v="413"/>
    <n v="75.633529999999993"/>
    <x v="318"/>
    <n v="75.633529999999993"/>
    <n v="75.633529999999993"/>
    <n v="19.914486"/>
    <n v="0"/>
  </r>
  <r>
    <x v="414"/>
    <n v="75.186974000000006"/>
    <x v="339"/>
    <n v="74.931792999999999"/>
    <n v="75.059380000000004"/>
    <n v="19.763307999999999"/>
    <n v="2473106"/>
  </r>
  <r>
    <x v="415"/>
    <n v="75.272064"/>
    <x v="340"/>
    <n v="74.889281999999994"/>
    <n v="75.846137999999996"/>
    <n v="19.970462999999999"/>
    <n v="3921863"/>
  </r>
  <r>
    <x v="416"/>
    <n v="75.590958000000001"/>
    <x v="341"/>
    <n v="74.719200000000001"/>
    <n v="74.910583000000003"/>
    <n v="19.724133999999999"/>
    <n v="2512781"/>
  </r>
  <r>
    <x v="417"/>
    <n v="75.697333999999998"/>
    <x v="342"/>
    <n v="75.654754999999994"/>
    <n v="76.760475"/>
    <n v="20.211207999999999"/>
    <n v="3100700"/>
  </r>
  <r>
    <x v="418"/>
    <n v="77.738608999999997"/>
    <x v="343"/>
    <n v="77.185744999999997"/>
    <n v="77.440926000000005"/>
    <n v="20.390374999999999"/>
    <n v="2960634"/>
  </r>
  <r>
    <x v="419"/>
    <n v="77.823607999999993"/>
    <x v="344"/>
    <n v="76.462783999999999"/>
    <n v="76.590384999999998"/>
    <n v="20.166426000000001"/>
    <n v="2682905"/>
  </r>
  <r>
    <x v="420"/>
    <n v="76.505295000000004"/>
    <x v="345"/>
    <n v="75.761131000000006"/>
    <n v="77.079453000000001"/>
    <n v="20.295197000000002"/>
    <n v="2518793"/>
  </r>
  <r>
    <x v="421"/>
    <n v="77.079453000000001"/>
    <x v="346"/>
    <n v="77.079453000000001"/>
    <n v="77.079453000000001"/>
    <n v="20.295197000000002"/>
    <n v="0"/>
  </r>
  <r>
    <x v="422"/>
    <n v="74.931792999999999"/>
    <x v="347"/>
    <n v="73.230789000000001"/>
    <n v="73.507178999999994"/>
    <n v="19.354611999999999"/>
    <n v="3241969"/>
  </r>
  <r>
    <x v="423"/>
    <n v="73.996239000000003"/>
    <x v="292"/>
    <n v="72.082565000000002"/>
    <n v="72.358954999999995"/>
    <n v="19.05228"/>
    <n v="2200788"/>
  </r>
  <r>
    <x v="424"/>
    <n v="71.444610999999995"/>
    <x v="348"/>
    <n v="71.019333000000003"/>
    <n v="71.444610999999995"/>
    <n v="18.811533000000001"/>
    <n v="3887598"/>
  </r>
  <r>
    <x v="425"/>
    <n v="72.231361000000007"/>
    <x v="349"/>
    <n v="71.997467"/>
    <n v="72.848006999999996"/>
    <n v="19.181051"/>
    <n v="3079059"/>
  </r>
  <r>
    <x v="426"/>
    <n v="73.337090000000003"/>
    <x v="350"/>
    <n v="70.806740000000005"/>
    <n v="71.274512999999999"/>
    <n v="18.766746999999999"/>
    <n v="3428324"/>
  </r>
  <r>
    <x v="427"/>
    <n v="71.614784"/>
    <x v="287"/>
    <n v="70.019988999999995"/>
    <n v="70.296386999999996"/>
    <n v="18.509205000000001"/>
    <n v="3707255"/>
  </r>
  <r>
    <x v="428"/>
    <n v="70.147582999999997"/>
    <x v="351"/>
    <n v="69.275825999999995"/>
    <n v="70.062492000000006"/>
    <n v="18.447617000000001"/>
    <n v="2637819"/>
  </r>
  <r>
    <x v="429"/>
    <n v="70.381461999999999"/>
    <x v="352"/>
    <n v="69.743599000000003"/>
    <n v="70.636641999999995"/>
    <n v="18.598793000000001"/>
    <n v="5981382"/>
  </r>
  <r>
    <x v="430"/>
    <n v="71.444610999999995"/>
    <x v="353"/>
    <n v="71.232017999999997"/>
    <n v="72.954307999999997"/>
    <n v="19.209040000000002"/>
    <n v="4821776"/>
  </r>
  <r>
    <x v="431"/>
    <n v="74.038749999999993"/>
    <x v="354"/>
    <n v="74.038749999999993"/>
    <n v="75.357062999999997"/>
    <n v="19.841691999999998"/>
    <n v="4771881"/>
  </r>
  <r>
    <x v="432"/>
    <n v="74.974379999999996"/>
    <x v="355"/>
    <n v="74.506523000000001"/>
    <n v="74.846785999999994"/>
    <n v="19.707335"/>
    <n v="2590329"/>
  </r>
  <r>
    <x v="433"/>
    <n v="75.654754999999994"/>
    <x v="356"/>
    <n v="75.569739999999996"/>
    <n v="75.718543999999994"/>
    <n v="19.936869000000002"/>
    <n v="2450864"/>
  </r>
  <r>
    <x v="434"/>
    <n v="76.122528000000003"/>
    <x v="357"/>
    <n v="74.634101999999999"/>
    <n v="74.634101999999999"/>
    <n v="19.651330999999999"/>
    <n v="2263908"/>
  </r>
  <r>
    <x v="435"/>
    <n v="75.059380000000004"/>
    <x v="358"/>
    <n v="74.634101999999999"/>
    <n v="75.378365000000002"/>
    <n v="19.847300000000001"/>
    <n v="2167124"/>
  </r>
  <r>
    <x v="436"/>
    <n v="76.207603000000006"/>
    <x v="359"/>
    <n v="75.952431000000004"/>
    <n v="75.952431000000004"/>
    <n v="19.998453000000001"/>
    <n v="3072446"/>
  </r>
  <r>
    <x v="437"/>
    <n v="76.250107"/>
    <x v="320"/>
    <n v="76.228904999999997"/>
    <n v="77.802406000000005"/>
    <n v="20.485558000000001"/>
    <n v="1585216"/>
  </r>
  <r>
    <x v="438"/>
    <n v="77.802406000000005"/>
    <x v="344"/>
    <n v="76.632889000000006"/>
    <n v="76.802978999999993"/>
    <n v="20.222404000000001"/>
    <n v="1746323"/>
  </r>
  <r>
    <x v="439"/>
    <n v="77.292038000000005"/>
    <x v="312"/>
    <n v="76.335205000000002"/>
    <n v="76.802978999999993"/>
    <n v="20.222404000000001"/>
    <n v="1853928"/>
  </r>
  <r>
    <x v="440"/>
    <n v="76.845482000000004"/>
    <x v="360"/>
    <n v="75.909926999999996"/>
    <n v="77.398337999999995"/>
    <n v="20.379158"/>
    <n v="2019242"/>
  </r>
  <r>
    <x v="441"/>
    <n v="78.248878000000005"/>
    <x v="361"/>
    <n v="77.525931999999997"/>
    <n v="77.823607999999993"/>
    <n v="20.491136999999998"/>
    <n v="1928469"/>
  </r>
  <r>
    <x v="442"/>
    <n v="77.483429000000001"/>
    <x v="362"/>
    <n v="75.782332999999994"/>
    <n v="75.867431999999994"/>
    <n v="19.976071999999998"/>
    <n v="1871361"/>
  </r>
  <r>
    <x v="443"/>
    <n v="75.144463000000002"/>
    <x v="363"/>
    <n v="74.506523000000001"/>
    <n v="74.506523000000001"/>
    <n v="19.617743999999998"/>
    <n v="2848220"/>
  </r>
  <r>
    <x v="444"/>
    <n v="74.336433"/>
    <x v="364"/>
    <n v="73.783562000000003"/>
    <n v="74.931792999999999"/>
    <n v="19.729714999999999"/>
    <n v="2994899"/>
  </r>
  <r>
    <x v="445"/>
    <n v="76.016227999999998"/>
    <x v="365"/>
    <n v="74.421509"/>
    <n v="74.421509"/>
    <n v="19.595355999999999"/>
    <n v="4317416"/>
  </r>
  <r>
    <x v="446"/>
    <n v="74.506523000000001"/>
    <x v="366"/>
    <n v="73.613479999999996"/>
    <n v="73.953734999999995"/>
    <n v="19.472194999999999"/>
    <n v="3002714"/>
  </r>
  <r>
    <x v="447"/>
    <n v="74.293930000000003"/>
    <x v="367"/>
    <n v="73.719855999999993"/>
    <n v="74.123840000000001"/>
    <n v="19.516978999999999"/>
    <n v="2850624"/>
  </r>
  <r>
    <x v="448"/>
    <n v="73.826156999999995"/>
    <x v="368"/>
    <n v="72.933104999999998"/>
    <n v="72.933104999999998"/>
    <n v="19.203458999999999"/>
    <n v="2869260"/>
  </r>
  <r>
    <x v="449"/>
    <n v="73.251998999999998"/>
    <x v="369"/>
    <n v="73.018112000000002"/>
    <n v="73.251998999999998"/>
    <n v="19.287424000000001"/>
    <n v="3669382"/>
  </r>
  <r>
    <x v="450"/>
    <n v="73.400879000000003"/>
    <x v="370"/>
    <n v="73.400879000000003"/>
    <n v="74.953079000000002"/>
    <n v="19.735315"/>
    <n v="5334551"/>
  </r>
  <r>
    <x v="451"/>
    <n v="76.547798"/>
    <x v="371"/>
    <n v="76.080025000000006"/>
    <n v="77.781104999999997"/>
    <n v="20.479946000000002"/>
    <n v="6611982"/>
  </r>
  <r>
    <x v="452"/>
    <n v="77.270752000000002"/>
    <x v="372"/>
    <n v="77.079453000000001"/>
    <n v="78.376480000000001"/>
    <n v="20.636714999999999"/>
    <n v="5855743"/>
  </r>
  <r>
    <x v="453"/>
    <n v="79.099434000000002"/>
    <x v="373"/>
    <n v="76.717963999999995"/>
    <n v="76.760475"/>
    <n v="20.211207999999999"/>
    <n v="3398267"/>
  </r>
  <r>
    <x v="454"/>
    <n v="78.036285000000007"/>
    <x v="374"/>
    <n v="76.547798"/>
    <n v="77.270752000000002"/>
    <n v="20.345568"/>
    <n v="2777886"/>
  </r>
  <r>
    <x v="455"/>
    <n v="76.973067999999998"/>
    <x v="375"/>
    <n v="76.973067999999998"/>
    <n v="78.291381999999999"/>
    <n v="20.614301999999999"/>
    <n v="3921863"/>
  </r>
  <r>
    <x v="456"/>
    <n v="78.631659999999997"/>
    <x v="376"/>
    <n v="78.078789"/>
    <n v="78.376480000000001"/>
    <n v="20.636714999999999"/>
    <n v="5211918"/>
  </r>
  <r>
    <x v="457"/>
    <n v="79.312027"/>
    <x v="377"/>
    <n v="77.058159000000003"/>
    <n v="77.249534999999995"/>
    <n v="20.339981000000002"/>
    <n v="3853934"/>
  </r>
  <r>
    <x v="458"/>
    <n v="76.547798"/>
    <x v="365"/>
    <n v="75.208259999999996"/>
    <n v="75.654754999999994"/>
    <n v="19.920074"/>
    <n v="2257295"/>
  </r>
  <r>
    <x v="459"/>
    <n v="74.527809000000005"/>
    <x v="378"/>
    <n v="74.421509"/>
    <n v="74.421509"/>
    <n v="19.595355999999999"/>
    <n v="2749031"/>
  </r>
  <r>
    <x v="460"/>
    <n v="72.826729"/>
    <x v="292"/>
    <n v="72.762932000000006"/>
    <n v="73.464668000000003"/>
    <n v="19.343418"/>
    <n v="3642331"/>
  </r>
  <r>
    <x v="461"/>
    <n v="73.656058999999999"/>
    <x v="379"/>
    <n v="72.614136000000002"/>
    <n v="73.273285000000001"/>
    <n v="19.293023999999999"/>
    <n v="3585222"/>
  </r>
  <r>
    <x v="462"/>
    <n v="75.059380000000004"/>
    <x v="380"/>
    <n v="74.719200000000001"/>
    <n v="76.760475"/>
    <n v="20.211207999999999"/>
    <n v="4184563"/>
  </r>
  <r>
    <x v="463"/>
    <n v="77.334548999999996"/>
    <x v="381"/>
    <n v="75.739829999999998"/>
    <n v="75.739829999999998"/>
    <n v="19.94248"/>
    <n v="2934785"/>
  </r>
  <r>
    <x v="464"/>
    <n v="76.271407999999994"/>
    <x v="382"/>
    <n v="73.996239000000003"/>
    <n v="73.996239000000003"/>
    <n v="19.483381000000001"/>
    <n v="3158410"/>
  </r>
  <r>
    <x v="465"/>
    <n v="75.059380000000004"/>
    <x v="383"/>
    <n v="73.996239000000003"/>
    <n v="74.719200000000001"/>
    <n v="19.673738"/>
    <n v="2990090"/>
  </r>
  <r>
    <x v="466"/>
    <n v="75.357062999999997"/>
    <x v="370"/>
    <n v="74.187629999999999"/>
    <n v="75.399651000000006"/>
    <n v="19.852906999999998"/>
    <n v="3285853"/>
  </r>
  <r>
    <x v="467"/>
    <n v="75.697333999999998"/>
    <x v="384"/>
    <n v="75.697333999999998"/>
    <n v="76.845482000000004"/>
    <n v="20.233592999999999"/>
    <n v="2637819"/>
  </r>
  <r>
    <x v="468"/>
    <n v="75.739829999999998"/>
    <x v="385"/>
    <n v="74.868003999999999"/>
    <n v="75.782332999999994"/>
    <n v="19.953666999999999"/>
    <n v="1524501"/>
  </r>
  <r>
    <x v="469"/>
    <n v="76.590384999999998"/>
    <x v="386"/>
    <n v="76.377707999999998"/>
    <n v="77.313338999999999"/>
    <n v="20.356783"/>
    <n v="2018040"/>
  </r>
  <r>
    <x v="470"/>
    <n v="77.823607999999993"/>
    <x v="387"/>
    <n v="77.313338999999999"/>
    <n v="77.759818999999993"/>
    <n v="20.474339000000001"/>
    <n v="2200187"/>
  </r>
  <r>
    <x v="471"/>
    <n v="77.611014999999995"/>
    <x v="361"/>
    <n v="76.760475"/>
    <n v="76.802978999999993"/>
    <n v="20.222404000000001"/>
    <n v="2287954"/>
  </r>
  <r>
    <x v="472"/>
    <n v="76.973067999999998"/>
    <x v="314"/>
    <n v="74.208832000000001"/>
    <n v="74.357719000000003"/>
    <n v="19.578558000000001"/>
    <n v="3537732"/>
  </r>
  <r>
    <x v="473"/>
    <n v="74.634101999999999"/>
    <x v="367"/>
    <n v="73.783562000000003"/>
    <n v="74.676604999999995"/>
    <n v="19.662521000000002"/>
    <n v="2275330"/>
  </r>
  <r>
    <x v="474"/>
    <n v="75.357062999999997"/>
    <x v="388"/>
    <n v="75.357062999999997"/>
    <n v="76.760475"/>
    <n v="20.211207999999999"/>
    <n v="2379929"/>
  </r>
  <r>
    <x v="475"/>
    <n v="76.547798"/>
    <x v="389"/>
    <n v="74.123840000000001"/>
    <n v="74.400222999999997"/>
    <n v="19.589749999999999"/>
    <n v="2411188"/>
  </r>
  <r>
    <x v="476"/>
    <n v="73.783562000000003"/>
    <x v="390"/>
    <n v="70.381461999999999"/>
    <n v="70.466560000000001"/>
    <n v="18.554012"/>
    <n v="3384440"/>
  </r>
  <r>
    <x v="477"/>
    <n v="67.617241000000007"/>
    <x v="391"/>
    <n v="65.065680999999998"/>
    <n v="68.042518999999999"/>
    <n v="17.915754"/>
    <n v="5857547"/>
  </r>
  <r>
    <x v="478"/>
    <n v="68.467788999999996"/>
    <x v="392"/>
    <n v="67.298264000000003"/>
    <n v="67.702324000000004"/>
    <n v="17.826183"/>
    <n v="2209204"/>
  </r>
  <r>
    <x v="479"/>
    <n v="65.490951999999993"/>
    <x v="393"/>
    <n v="65.065680999999998"/>
    <n v="66.936790000000002"/>
    <n v="17.624614999999999"/>
    <n v="4500163"/>
  </r>
  <r>
    <x v="480"/>
    <n v="69.701012000000006"/>
    <x v="284"/>
    <n v="68.467788999999996"/>
    <n v="70.168869000000001"/>
    <n v="18.475625999999998"/>
    <n v="3509478"/>
  </r>
  <r>
    <x v="481"/>
    <n v="69.020645000000002"/>
    <x v="394"/>
    <n v="67.617241000000007"/>
    <n v="68.042518999999999"/>
    <n v="17.915754"/>
    <n v="3611072"/>
  </r>
  <r>
    <x v="482"/>
    <n v="67.617241000000007"/>
    <x v="395"/>
    <n v="67.617241000000007"/>
    <n v="68.595366999999996"/>
    <n v="18.061319000000001"/>
    <n v="2674489"/>
  </r>
  <r>
    <x v="483"/>
    <n v="70.147582999999997"/>
    <x v="396"/>
    <n v="68.893058999999994"/>
    <n v="69.530922000000004"/>
    <n v="18.307652999999998"/>
    <n v="1320713"/>
  </r>
  <r>
    <x v="484"/>
    <n v="69.956192000000001"/>
    <x v="397"/>
    <n v="68.042518999999999"/>
    <n v="68.425278000000006"/>
    <n v="18.016537"/>
    <n v="3482427"/>
  </r>
  <r>
    <x v="485"/>
    <n v="69.403335999999996"/>
    <x v="398"/>
    <n v="67.957419999999999"/>
    <n v="68.680381999999994"/>
    <n v="18.083708000000001"/>
    <n v="2795319"/>
  </r>
  <r>
    <x v="486"/>
    <n v="68.170096999999998"/>
    <x v="399"/>
    <n v="65.384574999999998"/>
    <n v="65.873642000000004"/>
    <n v="17.344683"/>
    <n v="2999107"/>
  </r>
  <r>
    <x v="487"/>
    <n v="64.959311999999997"/>
    <x v="400"/>
    <n v="64.236343000000005"/>
    <n v="65.703552000000002"/>
    <n v="17.299897999999999"/>
    <n v="2512180"/>
  </r>
  <r>
    <x v="488"/>
    <n v="67.510947999999999"/>
    <x v="401"/>
    <n v="66.213836999999998"/>
    <n v="66.766684999999995"/>
    <n v="17.579823000000001"/>
    <n v="2234452"/>
  </r>
  <r>
    <x v="489"/>
    <n v="67.191970999999995"/>
    <x v="402"/>
    <n v="64.916801000000007"/>
    <n v="65.427170000000004"/>
    <n v="17.227126999999999"/>
    <n v="1757745"/>
  </r>
  <r>
    <x v="490"/>
    <n v="66.065025000000006"/>
    <x v="403"/>
    <n v="65.427170000000004"/>
    <n v="65.597251999999997"/>
    <n v="17.271912"/>
    <n v="1514882"/>
  </r>
  <r>
    <x v="491"/>
    <n v="65.894942999999998"/>
    <x v="404"/>
    <n v="61.876182999999997"/>
    <n v="62.088776000000003"/>
    <n v="16.348120000000002"/>
    <n v="3472808"/>
  </r>
  <r>
    <x v="492"/>
    <n v="63.151924000000001"/>
    <x v="405"/>
    <n v="61.025635000000001"/>
    <n v="62.492764000000001"/>
    <n v="16.454491000000001"/>
    <n v="4166529"/>
  </r>
  <r>
    <x v="493"/>
    <n v="62.577849999999998"/>
    <x v="203"/>
    <n v="59.452145000000002"/>
    <n v="60.366486000000002"/>
    <n v="15.894634"/>
    <n v="3133763"/>
  </r>
  <r>
    <x v="494"/>
    <n v="62.046280000000003"/>
    <x v="202"/>
    <n v="61.110649000000002"/>
    <n v="61.344611999999998"/>
    <n v="16.152182"/>
    <n v="1776981"/>
  </r>
  <r>
    <x v="495"/>
    <n v="61.450909000000003"/>
    <x v="169"/>
    <n v="61.025635000000001"/>
    <n v="63.194499999999998"/>
    <n v="16.639263"/>
    <n v="2227238"/>
  </r>
  <r>
    <x v="496"/>
    <n v="65.023094"/>
    <x v="406"/>
    <n v="62.131278999999999"/>
    <n v="62.322670000000002"/>
    <n v="16.409701999999999"/>
    <n v="2229041"/>
  </r>
  <r>
    <x v="497"/>
    <n v="62.046280000000003"/>
    <x v="407"/>
    <n v="61.663502000000001"/>
    <n v="62.024979000000002"/>
    <n v="16.331323999999999"/>
    <n v="1434329"/>
  </r>
  <r>
    <x v="498"/>
    <n v="61.450909000000003"/>
    <x v="408"/>
    <n v="61.025635000000001"/>
    <n v="61.663502000000001"/>
    <n v="16.236141"/>
    <n v="1665168"/>
  </r>
  <r>
    <x v="499"/>
    <n v="61.578505999999997"/>
    <x v="409"/>
    <n v="60.387695000000001"/>
    <n v="61.110649000000002"/>
    <n v="16.090575999999999"/>
    <n v="1790807"/>
  </r>
  <r>
    <x v="500"/>
    <n v="60.387695000000001"/>
    <x v="410"/>
    <n v="58.814278000000002"/>
    <n v="59.111958000000001"/>
    <n v="15.564317000000001"/>
    <n v="1555159"/>
  </r>
  <r>
    <x v="501"/>
    <n v="57.942431999999997"/>
    <x v="411"/>
    <n v="54.221359"/>
    <n v="54.242660999999998"/>
    <n v="14.282219"/>
    <n v="2867456"/>
  </r>
  <r>
    <x v="502"/>
    <n v="52.307682"/>
    <x v="73"/>
    <n v="48.203834999999998"/>
    <n v="49.756129999999999"/>
    <n v="13.100904999999999"/>
    <n v="6558481"/>
  </r>
  <r>
    <x v="503"/>
    <n v="50.287700999999998"/>
    <x v="77"/>
    <n v="49.585957000000001"/>
    <n v="50.819271000000001"/>
    <n v="13.380834999999999"/>
    <n v="2881283"/>
  </r>
  <r>
    <x v="504"/>
    <n v="49.756129999999999"/>
    <x v="412"/>
    <n v="49.543446000000003"/>
    <n v="52.137580999999997"/>
    <n v="13.727942000000001"/>
    <n v="3284049"/>
  </r>
  <r>
    <x v="505"/>
    <n v="51.882407999999998"/>
    <x v="413"/>
    <n v="48.926796000000003"/>
    <n v="49.585957000000001"/>
    <n v="13.056094999999999"/>
    <n v="3936290"/>
  </r>
  <r>
    <x v="506"/>
    <n v="48.799205999999998"/>
    <x v="225"/>
    <n v="43.844893999999996"/>
    <n v="44.227673000000003"/>
    <n v="11.645248"/>
    <n v="5252195"/>
  </r>
  <r>
    <x v="507"/>
    <n v="46.779223999999999"/>
    <x v="414"/>
    <n v="45.503399000000002"/>
    <n v="46.439030000000002"/>
    <n v="12.227505000000001"/>
    <n v="3353181"/>
  </r>
  <r>
    <x v="508"/>
    <n v="50.393996999999999"/>
    <x v="415"/>
    <n v="49.756129999999999"/>
    <n v="53.796084999999998"/>
    <n v="14.164634"/>
    <n v="3115902"/>
  </r>
  <r>
    <x v="509"/>
    <n v="53.540908999999999"/>
    <x v="416"/>
    <n v="52.307682"/>
    <n v="53.370815"/>
    <n v="14.052659"/>
    <n v="3767968"/>
  </r>
  <r>
    <x v="510"/>
    <n v="52.605358000000003"/>
    <x v="417"/>
    <n v="52.456566000000002"/>
    <n v="54.157573999999997"/>
    <n v="14.259812999999999"/>
    <n v="2904521"/>
  </r>
  <r>
    <x v="511"/>
    <n v="53.711089999999999"/>
    <x v="418"/>
    <n v="53.030628"/>
    <n v="53.668506999999998"/>
    <n v="14.131043"/>
    <n v="2945629"/>
  </r>
  <r>
    <x v="512"/>
    <n v="56.645412"/>
    <x v="253"/>
    <n v="55.071911"/>
    <n v="55.773575000000001"/>
    <n v="14.685309999999999"/>
    <n v="3257810"/>
  </r>
  <r>
    <x v="513"/>
    <n v="56.177635000000002"/>
    <x v="419"/>
    <n v="55.816158000000001"/>
    <n v="56.347729000000001"/>
    <n v="14.836489"/>
    <n v="2182710"/>
  </r>
  <r>
    <x v="514"/>
    <n v="57.410862000000002"/>
    <x v="420"/>
    <n v="57.410862000000002"/>
    <n v="59.749825000000001"/>
    <n v="15.732272"/>
    <n v="3706281"/>
  </r>
  <r>
    <x v="515"/>
    <n v="59.111958000000001"/>
    <x v="421"/>
    <n v="58.367702000000001"/>
    <n v="58.367702000000001"/>
    <n v="15.368354999999999"/>
    <n v="2301010"/>
  </r>
  <r>
    <x v="516"/>
    <n v="58.686680000000003"/>
    <x v="422"/>
    <n v="56.432727999999997"/>
    <n v="56.475310999999998"/>
    <n v="14.870082"/>
    <n v="1916314"/>
  </r>
  <r>
    <x v="517"/>
    <n v="56.135052000000002"/>
    <x v="207"/>
    <n v="55.071911"/>
    <n v="56.943085000000004"/>
    <n v="14.993245999999999"/>
    <n v="2011930"/>
  </r>
  <r>
    <x v="518"/>
    <n v="58.792976000000003"/>
    <x v="423"/>
    <n v="56.177635000000002"/>
    <n v="56.347729000000001"/>
    <n v="14.836489"/>
    <n v="1068662"/>
  </r>
  <r>
    <x v="519"/>
    <n v="56.985596000000001"/>
    <x v="129"/>
    <n v="55.709781999999997"/>
    <n v="55.901156999999998"/>
    <n v="14.718904999999999"/>
    <n v="1447539"/>
  </r>
  <r>
    <x v="520"/>
    <n v="55.284508000000002"/>
    <x v="424"/>
    <n v="53.966178999999997"/>
    <n v="54.391460000000002"/>
    <n v="14.321400000000001"/>
    <n v="1045998"/>
  </r>
  <r>
    <x v="521"/>
    <n v="54.519050999999997"/>
    <x v="97"/>
    <n v="52.945549"/>
    <n v="53.944969"/>
    <n v="14.203837"/>
    <n v="1530061"/>
  </r>
  <r>
    <x v="522"/>
    <n v="53.668506999999998"/>
    <x v="425"/>
    <n v="53.668506999999998"/>
    <n v="55.497185000000002"/>
    <n v="14.612538000000001"/>
    <n v="2053511"/>
  </r>
  <r>
    <x v="523"/>
    <n v="56.050037000000003"/>
    <x v="118"/>
    <n v="55.709781999999997"/>
    <n v="57.283279"/>
    <n v="15.08282"/>
    <n v="1016704"/>
  </r>
  <r>
    <x v="524"/>
    <n v="56.985596000000001"/>
    <x v="426"/>
    <n v="55.284508000000002"/>
    <n v="55.454681000000001"/>
    <n v="14.601345999999999"/>
    <n v="1109146"/>
  </r>
  <r>
    <x v="525"/>
    <n v="55.816158000000001"/>
    <x v="427"/>
    <n v="55.816158000000001"/>
    <n v="57.793633"/>
    <n v="15.2172"/>
    <n v="894332"/>
  </r>
  <r>
    <x v="526"/>
    <n v="57.410862000000002"/>
    <x v="207"/>
    <n v="57.219475000000003"/>
    <n v="58.559097000000001"/>
    <n v="15.418747"/>
    <n v="754494"/>
  </r>
  <r>
    <x v="527"/>
    <n v="59.409633999999997"/>
    <x v="199"/>
    <n v="58.856777000000001"/>
    <n v="59.090668000000001"/>
    <n v="15.558711000000001"/>
    <n v="479700"/>
  </r>
  <r>
    <x v="528"/>
    <n v="59.749825000000001"/>
    <x v="428"/>
    <n v="57.325867000000002"/>
    <n v="57.495956"/>
    <n v="15.138821"/>
    <n v="283766"/>
  </r>
  <r>
    <x v="529"/>
    <n v="56.581608000000003"/>
    <x v="134"/>
    <n v="54.667934000000002"/>
    <n v="54.859318000000002"/>
    <n v="14.444587"/>
    <n v="161371"/>
  </r>
  <r>
    <x v="530"/>
    <n v="55.709781999999997"/>
    <x v="409"/>
    <n v="55.709781999999997"/>
    <n v="58.686680000000003"/>
    <n v="15.452342"/>
    <n v="247426"/>
  </r>
  <r>
    <x v="531"/>
    <n v="58.452801000000001"/>
    <x v="150"/>
    <n v="55.922459000000003"/>
    <n v="57.580952000000003"/>
    <n v="15.161201"/>
    <n v="178323"/>
  </r>
  <r>
    <x v="532"/>
    <n v="55.284508000000002"/>
    <x v="84"/>
    <n v="55.156993999999997"/>
    <n v="55.497185000000002"/>
    <n v="14.612538000000001"/>
    <n v="15267739"/>
  </r>
  <r>
    <x v="533"/>
    <n v="56.858006000000003"/>
    <x v="145"/>
    <n v="56.858006000000003"/>
    <n v="59.919918000000003"/>
    <n v="15.777056"/>
    <n v="15464068"/>
  </r>
  <r>
    <x v="534"/>
    <n v="60.281395000000003"/>
    <x v="429"/>
    <n v="58.729179000000002"/>
    <n v="59.239547999999999"/>
    <n v="15.597911"/>
    <n v="17057620"/>
  </r>
  <r>
    <x v="535"/>
    <n v="59.537230999999998"/>
    <x v="430"/>
    <n v="59.111958000000001"/>
    <n v="59.707324999999997"/>
    <n v="15.721078"/>
    <n v="9398042"/>
  </r>
  <r>
    <x v="536"/>
    <n v="60.600372"/>
    <x v="172"/>
    <n v="60.557868999999997"/>
    <n v="62.747943999999997"/>
    <n v="16.521678999999999"/>
    <n v="12756526"/>
  </r>
  <r>
    <x v="537"/>
    <n v="63.598480000000002"/>
    <x v="431"/>
    <n v="63.470897999999998"/>
    <n v="65.597251999999997"/>
    <n v="17.271912"/>
    <n v="11003100"/>
  </r>
  <r>
    <x v="538"/>
    <n v="67.170753000000005"/>
    <x v="432"/>
    <n v="66.894287000000006"/>
    <n v="65.597251999999997"/>
    <n v="17.271912"/>
    <n v="6322878"/>
  </r>
  <r>
    <x v="539"/>
    <n v="68.212608000000003"/>
    <x v="433"/>
    <n v="65.958732999999995"/>
    <n v="66.979377999999997"/>
    <n v="17.635829999999999"/>
    <n v="8139525"/>
  </r>
  <r>
    <x v="540"/>
    <n v="65.065680999999998"/>
    <x v="434"/>
    <n v="64.427741999999995"/>
    <n v="65.065680999999998"/>
    <n v="17.131945000000002"/>
    <n v="7493375"/>
  </r>
  <r>
    <x v="541"/>
    <n v="65.703552000000002"/>
    <x v="435"/>
    <n v="65.682265999999998"/>
    <n v="67.914917000000003"/>
    <n v="17.882155999999998"/>
    <n v="5238406"/>
  </r>
  <r>
    <x v="542"/>
    <n v="67.319557000000003"/>
    <x v="436"/>
    <n v="67.234549999999999"/>
    <n v="68.467788999999996"/>
    <n v="18.027726999999999"/>
    <n v="6658570"/>
  </r>
  <r>
    <x v="543"/>
    <n v="68.233894000000006"/>
    <x v="391"/>
    <n v="67.404647999999995"/>
    <n v="67.425858000000005"/>
    <n v="17.753381999999998"/>
    <n v="6685524"/>
  </r>
  <r>
    <x v="544"/>
    <n v="66.298919999999995"/>
    <x v="437"/>
    <n v="64.555321000000006"/>
    <n v="67.425858000000005"/>
    <n v="17.753381999999998"/>
    <n v="7059201"/>
  </r>
  <r>
    <x v="545"/>
    <n v="66.341414999999998"/>
    <x v="438"/>
    <n v="62.046280000000003"/>
    <n v="62.981822999999999"/>
    <n v="16.583258000000001"/>
    <n v="9967571"/>
  </r>
  <r>
    <x v="546"/>
    <n v="62.280169999999998"/>
    <x v="439"/>
    <n v="60.919338000000003"/>
    <n v="62.684147000000003"/>
    <n v="16.504881000000001"/>
    <n v="8656123"/>
  </r>
  <r>
    <x v="547"/>
    <n v="61.578505999999997"/>
    <x v="440"/>
    <n v="60.600372"/>
    <n v="62.386467000000003"/>
    <n v="16.426500000000001"/>
    <n v="6790950"/>
  </r>
  <r>
    <x v="548"/>
    <n v="63.279513999999999"/>
    <x v="155"/>
    <n v="62.322670000000002"/>
    <n v="62.726734"/>
    <n v="16.516096000000001"/>
    <n v="4405598"/>
  </r>
  <r>
    <x v="549"/>
    <n v="62.939326999999999"/>
    <x v="441"/>
    <n v="62.833030999999998"/>
    <n v="62.726734"/>
    <n v="16.516096000000001"/>
    <n v="4434327"/>
  </r>
  <r>
    <x v="550"/>
    <n v="63.789870999999998"/>
    <x v="442"/>
    <n v="63.428393999999997"/>
    <n v="64.853012000000007"/>
    <n v="17.075949000000001"/>
    <n v="4454159"/>
  </r>
  <r>
    <x v="551"/>
    <n v="64.640418999999994"/>
    <x v="443"/>
    <n v="64.044556"/>
    <n v="64.640418999999994"/>
    <n v="17.019971999999999"/>
    <n v="5527729"/>
  </r>
  <r>
    <x v="552"/>
    <n v="63.343299999999999"/>
    <x v="275"/>
    <n v="62.556556999999998"/>
    <n v="64.640418999999994"/>
    <n v="17.019971999999999"/>
    <n v="5444397"/>
  </r>
  <r>
    <x v="553"/>
    <n v="62.216372999999997"/>
    <x v="159"/>
    <n v="61.49342"/>
    <n v="63.258305"/>
    <n v="16.656057000000001"/>
    <n v="5601644"/>
  </r>
  <r>
    <x v="554"/>
    <n v="62.811729"/>
    <x v="163"/>
    <n v="62.726734"/>
    <n v="63.662272999999999"/>
    <n v="16.762423999999999"/>
    <n v="7561634"/>
  </r>
  <r>
    <x v="555"/>
    <n v="64.427741999999995"/>
    <x v="444"/>
    <n v="64.066260999999997"/>
    <n v="64.215148999999997"/>
    <n v="16.907999"/>
    <n v="7215311"/>
  </r>
  <r>
    <x v="556"/>
    <n v="64.193848000000003"/>
    <x v="445"/>
    <n v="64.108849000000006"/>
    <n v="64.257644999999997"/>
    <n v="16.919188999999999"/>
    <n v="9129481"/>
  </r>
  <r>
    <x v="557"/>
    <n v="64.640418999999994"/>
    <x v="446"/>
    <n v="63.407097"/>
    <n v="64.257644999999997"/>
    <n v="16.919188999999999"/>
    <n v="13327254"/>
  </r>
  <r>
    <x v="558"/>
    <n v="64.810501000000002"/>
    <x v="447"/>
    <n v="64.130050999999995"/>
    <n v="66.107535999999996"/>
    <n v="17.406267"/>
    <n v="8284320"/>
  </r>
  <r>
    <x v="559"/>
    <n v="65.703552000000002"/>
    <x v="448"/>
    <n v="65.129395000000002"/>
    <n v="65.746063000000007"/>
    <n v="17.31109"/>
    <n v="6524322"/>
  </r>
  <r>
    <x v="560"/>
    <n v="65.703552000000002"/>
    <x v="449"/>
    <n v="65.490951999999993"/>
    <n v="67.106964000000005"/>
    <n v="17.669422000000001"/>
    <n v="6381271"/>
  </r>
  <r>
    <x v="561"/>
    <n v="67.106964000000005"/>
    <x v="450"/>
    <n v="67.106964000000005"/>
    <n v="67.106964000000005"/>
    <n v="17.669422000000001"/>
    <n v="0"/>
  </r>
  <r>
    <x v="562"/>
    <n v="67.106964000000005"/>
    <x v="450"/>
    <n v="67.106964000000005"/>
    <n v="67.106964000000005"/>
    <n v="17.669422000000001"/>
    <n v="0"/>
  </r>
  <r>
    <x v="563"/>
    <n v="67.596024"/>
    <x v="451"/>
    <n v="67.553436000000005"/>
    <n v="70.742942999999997"/>
    <n v="18.626781000000001"/>
    <n v="7013054"/>
  </r>
  <r>
    <x v="564"/>
    <n v="70.509063999999995"/>
    <x v="452"/>
    <n v="69.786109999999994"/>
    <n v="70.190085999999994"/>
    <n v="18.481204999999999"/>
    <n v="3648585"/>
  </r>
  <r>
    <x v="565"/>
    <n v="70.679152999999999"/>
    <x v="352"/>
    <n v="69.530922000000004"/>
    <n v="69.530922000000004"/>
    <n v="18.307652999999998"/>
    <n v="2972183"/>
  </r>
  <r>
    <x v="566"/>
    <n v="69.530922000000004"/>
    <x v="453"/>
    <n v="69.530922000000004"/>
    <n v="69.530922000000004"/>
    <n v="18.307652999999998"/>
    <n v="0"/>
  </r>
  <r>
    <x v="567"/>
    <n v="69.530922000000004"/>
    <x v="453"/>
    <n v="69.530922000000004"/>
    <n v="69.530922000000004"/>
    <n v="18.307652999999998"/>
    <n v="0"/>
  </r>
  <r>
    <x v="568"/>
    <n v="69.035042000000004"/>
    <x v="454"/>
    <n v="68.369643999999994"/>
    <n v="72.777901"/>
    <n v="19.162586000000001"/>
    <n v="4805616"/>
  </r>
  <r>
    <x v="569"/>
    <n v="71.862983999999997"/>
    <x v="455"/>
    <n v="71.613456999999997"/>
    <n v="72.179046999999997"/>
    <n v="19.004908"/>
    <n v="4254356"/>
  </r>
  <r>
    <x v="570"/>
    <n v="74.857269000000002"/>
    <x v="456"/>
    <n v="74.275047000000001"/>
    <n v="76.944962000000004"/>
    <n v="20.259785000000001"/>
    <n v="4965739"/>
  </r>
  <r>
    <x v="571"/>
    <n v="77.452324000000004"/>
    <x v="457"/>
    <n v="74.191872000000004"/>
    <n v="75.938545000000005"/>
    <n v="19.994793000000001"/>
    <n v="6149097"/>
  </r>
  <r>
    <x v="572"/>
    <n v="76.437591999999995"/>
    <x v="458"/>
    <n v="75.697333999999998"/>
    <n v="77.061401000000004"/>
    <n v="20.290447"/>
    <n v="4124191"/>
  </r>
  <r>
    <x v="573"/>
    <n v="77.435692000000003"/>
    <x v="459"/>
    <n v="76.104896999999994"/>
    <n v="76.354416000000001"/>
    <n v="20.104296000000001"/>
    <n v="3085808"/>
  </r>
  <r>
    <x v="574"/>
    <n v="76.770294000000007"/>
    <x v="460"/>
    <n v="75.273148000000006"/>
    <n v="75.689018000000004"/>
    <n v="19.929089000000001"/>
    <n v="4133764"/>
  </r>
  <r>
    <x v="575"/>
    <n v="75.065207999999998"/>
    <x v="461"/>
    <n v="70.124626000000006"/>
    <n v="71.779808000000003"/>
    <n v="18.899794"/>
    <n v="6606635"/>
  </r>
  <r>
    <x v="576"/>
    <n v="73.609650000000002"/>
    <x v="462"/>
    <n v="72.370345999999998"/>
    <n v="71.779808000000003"/>
    <n v="18.899794"/>
    <n v="5419259"/>
  </r>
  <r>
    <x v="577"/>
    <n v="72.112503000000004"/>
    <x v="463"/>
    <n v="70.698532"/>
    <n v="74.940444999999997"/>
    <n v="19.731997"/>
    <n v="6019200"/>
  </r>
  <r>
    <x v="578"/>
    <n v="76.104896999999994"/>
    <x v="464"/>
    <n v="74.940444999999997"/>
    <n v="75.896957"/>
    <n v="19.983847000000001"/>
    <n v="2519091"/>
  </r>
  <r>
    <x v="579"/>
    <n v="76.021720999999999"/>
    <x v="465"/>
    <n v="74.191872000000004"/>
    <n v="74.857269000000002"/>
    <n v="19.710093000000001"/>
    <n v="3014293"/>
  </r>
  <r>
    <x v="580"/>
    <n v="76.354416000000001"/>
    <x v="466"/>
    <n v="75.522666999999998"/>
    <n v="76.936638000000002"/>
    <n v="20.257598999999999"/>
    <n v="3300447"/>
  </r>
  <r>
    <x v="581"/>
    <n v="76.113213000000002"/>
    <x v="467"/>
    <n v="75.314734999999999"/>
    <n v="76.504135000000005"/>
    <n v="20.143713000000002"/>
    <n v="3198789"/>
  </r>
  <r>
    <x v="582"/>
    <n v="75.314734999999999"/>
    <x v="468"/>
    <n v="73.193779000000006"/>
    <n v="76.504135000000005"/>
    <n v="20.143713000000002"/>
    <n v="3283912"/>
  </r>
  <r>
    <x v="583"/>
    <n v="73.426665999999997"/>
    <x v="469"/>
    <n v="71.904572000000002"/>
    <n v="73.360123000000002"/>
    <n v="19.315892999999999"/>
    <n v="2731161"/>
  </r>
  <r>
    <x v="584"/>
    <n v="74.275047000000001"/>
    <x v="470"/>
    <n v="73.193779000000006"/>
    <n v="73.900763999999995"/>
    <n v="19.458241999999998"/>
    <n v="2276848"/>
  </r>
  <r>
    <x v="585"/>
    <n v="74.857269000000002"/>
    <x v="471"/>
    <n v="74.441399000000004"/>
    <n v="74.857269000000002"/>
    <n v="19.710093000000001"/>
    <n v="2840602"/>
  </r>
  <r>
    <x v="586"/>
    <n v="74.108695999999995"/>
    <x v="472"/>
    <n v="73.526473999999993"/>
    <n v="75.189971999999997"/>
    <n v="19.797692999999999"/>
    <n v="3120186"/>
  </r>
  <r>
    <x v="587"/>
    <n v="75.689018000000004"/>
    <x v="473"/>
    <n v="75.580894000000001"/>
    <n v="76.470862999999994"/>
    <n v="20.134954"/>
    <n v="3102542"/>
  </r>
  <r>
    <x v="588"/>
    <n v="76.920006000000001"/>
    <x v="474"/>
    <n v="76.271240000000006"/>
    <n v="76.628890999999996"/>
    <n v="20.176565"/>
    <n v="3494678"/>
  </r>
  <r>
    <x v="589"/>
    <n v="76.104896999999994"/>
    <x v="475"/>
    <n v="74.857269000000002"/>
    <n v="75.689018000000004"/>
    <n v="19.929089000000001"/>
    <n v="2318303"/>
  </r>
  <r>
    <x v="590"/>
    <n v="75.214920000000006"/>
    <x v="476"/>
    <n v="74.358222999999995"/>
    <n v="75.065207999999998"/>
    <n v="19.764847"/>
    <n v="2385394"/>
  </r>
  <r>
    <x v="591"/>
    <n v="75.689018000000004"/>
    <x v="477"/>
    <n v="73.360123000000002"/>
    <n v="73.526473999999993"/>
    <n v="19.359694000000001"/>
    <n v="2188790"/>
  </r>
  <r>
    <x v="592"/>
    <n v="72.694725000000005"/>
    <x v="478"/>
    <n v="71.862983999999997"/>
    <n v="73.276955000000001"/>
    <n v="19.293997000000001"/>
    <n v="3377184"/>
  </r>
  <r>
    <x v="593"/>
    <n v="73.942352"/>
    <x v="479"/>
    <n v="71.447104999999993"/>
    <n v="71.746536000000006"/>
    <n v="18.891029"/>
    <n v="2153254"/>
  </r>
  <r>
    <x v="594"/>
    <n v="72.195678999999998"/>
    <x v="480"/>
    <n v="68.743926999999999"/>
    <n v="68.868690000000001"/>
    <n v="18.133291"/>
    <n v="3391888"/>
  </r>
  <r>
    <x v="595"/>
    <n v="67.962081999999995"/>
    <x v="481"/>
    <n v="67.870590000000007"/>
    <n v="68.868690000000001"/>
    <n v="18.133291"/>
    <n v="3484544"/>
  </r>
  <r>
    <x v="596"/>
    <n v="69.384377000000001"/>
    <x v="482"/>
    <n v="68.535988000000003"/>
    <n v="69.450912000000002"/>
    <n v="18.286587000000001"/>
    <n v="2116434"/>
  </r>
  <r>
    <x v="597"/>
    <n v="70.407425000000003"/>
    <x v="483"/>
    <n v="69.450912000000002"/>
    <n v="69.450912000000002"/>
    <n v="18.286587000000001"/>
    <n v="2653745"/>
  </r>
  <r>
    <x v="598"/>
    <n v="69.201385000000002"/>
    <x v="484"/>
    <n v="68.511039999999994"/>
    <n v="70.698532"/>
    <n v="18.615089000000001"/>
    <n v="1893090"/>
  </r>
  <r>
    <x v="599"/>
    <n v="71.322342000000006"/>
    <x v="485"/>
    <n v="70.033134000000004"/>
    <n v="70.615356000000006"/>
    <n v="18.593187"/>
    <n v="1748433"/>
  </r>
  <r>
    <x v="600"/>
    <n v="70.324248999999995"/>
    <x v="486"/>
    <n v="69.450912000000002"/>
    <n v="69.999863000000005"/>
    <n v="18.431125999999999"/>
    <n v="1947117"/>
  </r>
  <r>
    <x v="601"/>
    <n v="69.866791000000006"/>
    <x v="487"/>
    <n v="69.492500000000007"/>
    <n v="71.405518000000001"/>
    <n v="18.801241000000001"/>
    <n v="2105290"/>
  </r>
  <r>
    <x v="602"/>
    <n v="71.571869000000007"/>
    <x v="488"/>
    <n v="70.540503999999999"/>
    <n v="70.698532"/>
    <n v="18.615089000000001"/>
    <n v="2156025"/>
  </r>
  <r>
    <x v="603"/>
    <n v="71.114410000000007"/>
    <x v="489"/>
    <n v="70.698532"/>
    <n v="71.946151999999998"/>
    <n v="18.943587999999998"/>
    <n v="2351937"/>
  </r>
  <r>
    <x v="604"/>
    <n v="72.694725000000005"/>
    <x v="490"/>
    <n v="72.536697000000004"/>
    <n v="74.441399000000004"/>
    <n v="19.600591999999999"/>
    <n v="3424907"/>
  </r>
  <r>
    <x v="605"/>
    <n v="73.526473999999993"/>
    <x v="491"/>
    <n v="72.819489000000004"/>
    <n v="76.188064999999995"/>
    <n v="20.060497000000002"/>
    <n v="4655203"/>
  </r>
  <r>
    <x v="606"/>
    <n v="75.730605999999995"/>
    <x v="492"/>
    <n v="72.154090999999994"/>
    <n v="72.362030000000004"/>
    <n v="19.053093000000001"/>
    <n v="4542943"/>
  </r>
  <r>
    <x v="607"/>
    <n v="72.362030000000004"/>
    <x v="480"/>
    <n v="70.382469"/>
    <n v="72.362030000000004"/>
    <n v="19.053093000000001"/>
    <n v="3461269"/>
  </r>
  <r>
    <x v="608"/>
    <n v="71.031234999999995"/>
    <x v="493"/>
    <n v="68.211608999999996"/>
    <n v="69.201385000000002"/>
    <n v="18.220886"/>
    <n v="2508258"/>
  </r>
  <r>
    <x v="609"/>
    <n v="69.450912000000002"/>
    <x v="494"/>
    <n v="68.303100999999998"/>
    <n v="69.201385000000002"/>
    <n v="18.220886"/>
    <n v="3394086"/>
  </r>
  <r>
    <x v="610"/>
    <n v="69.242973000000006"/>
    <x v="495"/>
    <n v="66.398398999999998"/>
    <n v="66.423355000000001"/>
    <n v="17.489422000000001"/>
    <n v="4186903"/>
  </r>
  <r>
    <x v="611"/>
    <n v="66.622971000000007"/>
    <x v="496"/>
    <n v="64.626778000000002"/>
    <n v="67.413132000000004"/>
    <n v="17.750033999999999"/>
    <n v="3907936"/>
  </r>
  <r>
    <x v="612"/>
    <n v="68.702338999999995"/>
    <x v="497"/>
    <n v="67.995354000000006"/>
    <n v="69.700439000000003"/>
    <n v="18.352293"/>
    <n v="3203806"/>
  </r>
  <r>
    <x v="613"/>
    <n v="70.116309999999999"/>
    <x v="498"/>
    <n v="68.036941999999996"/>
    <n v="68.785515000000004"/>
    <n v="18.111388999999999"/>
    <n v="1694109"/>
  </r>
  <r>
    <x v="614"/>
    <n v="68.452811999999994"/>
    <x v="499"/>
    <n v="67.870590000000007"/>
    <n v="68.619163999999998"/>
    <n v="18.067585000000001"/>
    <n v="1716923"/>
  </r>
  <r>
    <x v="615"/>
    <n v="68.203293000000002"/>
    <x v="500"/>
    <n v="66.165512000000007"/>
    <n v="66.539794999999998"/>
    <n v="17.520081000000001"/>
    <n v="2791578"/>
  </r>
  <r>
    <x v="616"/>
    <n v="67.205192999999994"/>
    <x v="501"/>
    <n v="65.982529"/>
    <n v="66.864182"/>
    <n v="17.605494"/>
    <n v="2381407"/>
  </r>
  <r>
    <x v="617"/>
    <n v="71.530281000000002"/>
    <x v="502"/>
    <n v="69.284560999999997"/>
    <n v="66.864182"/>
    <n v="17.605494"/>
    <n v="4896737"/>
  </r>
  <r>
    <x v="618"/>
    <n v="70.282661000000004"/>
    <x v="503"/>
    <n v="69.866791000000006"/>
    <n v="70.490600999999998"/>
    <n v="18.560334999999998"/>
    <n v="2808093"/>
  </r>
  <r>
    <x v="619"/>
    <n v="70.573768999999999"/>
    <x v="504"/>
    <n v="70.282661000000004"/>
    <n v="71.289078000000003"/>
    <n v="18.770579999999999"/>
    <n v="2468606"/>
  </r>
  <r>
    <x v="620"/>
    <n v="70.449012999999994"/>
    <x v="493"/>
    <n v="70.074721999999994"/>
    <n v="70.124626000000006"/>
    <n v="18.463979999999999"/>
    <n v="2772835"/>
  </r>
  <r>
    <x v="621"/>
    <n v="69.991546999999997"/>
    <x v="505"/>
    <n v="69.742026999999993"/>
    <n v="70.399101000000002"/>
    <n v="18.536246999999999"/>
    <n v="2039411"/>
  </r>
  <r>
    <x v="622"/>
    <n v="71.006279000000006"/>
    <x v="506"/>
    <n v="70.698532"/>
    <n v="71.197586000000001"/>
    <n v="18.746486999999998"/>
    <n v="20039374"/>
  </r>
  <r>
    <x v="623"/>
    <n v="70.615356000000006"/>
    <x v="505"/>
    <n v="69.742026999999993"/>
    <n v="69.783614999999998"/>
    <n v="18.374189000000001"/>
    <n v="3065215"/>
  </r>
  <r>
    <x v="624"/>
    <n v="69.450912000000002"/>
    <x v="499"/>
    <n v="67.080437000000003"/>
    <n v="67.205192999999994"/>
    <n v="17.695285999999999"/>
    <n v="2569918"/>
  </r>
  <r>
    <x v="625"/>
    <n v="66.123924000000002"/>
    <x v="507"/>
    <n v="64.635093999999995"/>
    <n v="65.084236000000004"/>
    <n v="17.136831000000001"/>
    <n v="4567364"/>
  </r>
  <r>
    <x v="626"/>
    <n v="65.708045999999996"/>
    <x v="508"/>
    <n v="65.192368000000002"/>
    <n v="66.331862999999998"/>
    <n v="17.465336000000001"/>
    <n v="4668516"/>
  </r>
  <r>
    <x v="627"/>
    <n v="66.781006000000005"/>
    <x v="509"/>
    <n v="65.425255000000007"/>
    <n v="66.539794999999998"/>
    <n v="17.520081000000001"/>
    <n v="3658289"/>
  </r>
  <r>
    <x v="628"/>
    <n v="66.539794999999998"/>
    <x v="510"/>
    <n v="65.999161000000001"/>
    <n v="67.354911999999999"/>
    <n v="17.734707"/>
    <n v="1713463"/>
  </r>
  <r>
    <x v="629"/>
    <n v="67.787414999999996"/>
    <x v="511"/>
    <n v="65.749634"/>
    <n v="66.356812000000005"/>
    <n v="17.471907000000002"/>
    <n v="2026093"/>
  </r>
  <r>
    <x v="630"/>
    <n v="66.955673000000004"/>
    <x v="509"/>
    <n v="66.157195999999999"/>
    <n v="66.997260999999995"/>
    <n v="17.640533000000001"/>
    <n v="2161933"/>
  </r>
  <r>
    <x v="631"/>
    <n v="66.622971000000007"/>
    <x v="512"/>
    <n v="65.666466"/>
    <n v="67.995354000000006"/>
    <n v="17.903337000000001"/>
    <n v="2642130"/>
  </r>
  <r>
    <x v="632"/>
    <n v="67.995354000000006"/>
    <x v="513"/>
    <n v="67.995354000000006"/>
    <n v="67.995354000000006"/>
    <n v="17.903337000000001"/>
    <n v="0"/>
  </r>
  <r>
    <x v="633"/>
    <n v="67.995354000000006"/>
    <x v="513"/>
    <n v="67.995354000000006"/>
    <n v="67.995354000000006"/>
    <n v="17.903337000000001"/>
    <n v="0"/>
  </r>
  <r>
    <x v="634"/>
    <n v="69.101578000000003"/>
    <x v="514"/>
    <n v="68.702338999999995"/>
    <n v="70.207802000000001"/>
    <n v="18.485880000000002"/>
    <n v="3676175"/>
  </r>
  <r>
    <x v="635"/>
    <n v="69.517455999999996"/>
    <x v="515"/>
    <n v="69.267928999999995"/>
    <n v="69.409324999999995"/>
    <n v="18.275639000000002"/>
    <n v="3311638"/>
  </r>
  <r>
    <x v="636"/>
    <n v="69.783614999999998"/>
    <x v="505"/>
    <n v="69.442595999999995"/>
    <n v="69.409324999999995"/>
    <n v="18.275639000000002"/>
    <n v="4672331"/>
  </r>
  <r>
    <x v="637"/>
    <n v="71.862983999999997"/>
    <x v="516"/>
    <n v="71.779808000000003"/>
    <n v="70.690216000000007"/>
    <n v="18.6129"/>
    <n v="5295169"/>
  </r>
  <r>
    <x v="638"/>
    <n v="72.154090999999994"/>
    <x v="517"/>
    <n v="71.821395999999993"/>
    <n v="73.825905000000006"/>
    <n v="19.438534000000001"/>
    <n v="3511024"/>
  </r>
  <r>
    <x v="639"/>
    <n v="74.566162000000006"/>
    <x v="518"/>
    <n v="73.875809000000004"/>
    <n v="73.825905000000006"/>
    <n v="19.438534000000001"/>
    <n v="6236618"/>
  </r>
  <r>
    <x v="640"/>
    <n v="75.497719000000004"/>
    <x v="472"/>
    <n v="74.549521999999996"/>
    <n v="75.065207999999998"/>
    <n v="19.764847"/>
    <n v="4617524"/>
  </r>
  <r>
    <x v="641"/>
    <n v="74.383178999999998"/>
    <x v="519"/>
    <n v="73.701141000000007"/>
    <n v="75.065207999999998"/>
    <n v="19.764847"/>
    <n v="4639393"/>
  </r>
  <r>
    <x v="642"/>
    <n v="74.449714999999998"/>
    <x v="520"/>
    <n v="74.208511000000001"/>
    <n v="75.065207999999998"/>
    <n v="19.764847"/>
    <n v="4607132"/>
  </r>
  <r>
    <x v="643"/>
    <n v="75.689018000000004"/>
    <x v="521"/>
    <n v="75.397902999999999"/>
    <n v="75.64743"/>
    <n v="19.918144000000002"/>
    <n v="5028248"/>
  </r>
  <r>
    <x v="644"/>
    <n v="76.204704000000007"/>
    <x v="522"/>
    <n v="75.880318000000003"/>
    <n v="76.354416000000001"/>
    <n v="20.104296000000001"/>
    <n v="3300181"/>
  </r>
  <r>
    <x v="645"/>
    <n v="76.104896999999994"/>
    <x v="523"/>
    <n v="75.938545000000005"/>
    <n v="76.271240000000006"/>
    <n v="20.08239"/>
    <n v="2266788"/>
  </r>
  <r>
    <x v="646"/>
    <n v="76.944962000000004"/>
    <x v="524"/>
    <n v="76.720382999999998"/>
    <n v="77.643623000000005"/>
    <n v="20.443747999999999"/>
    <n v="3182541"/>
  </r>
  <r>
    <x v="647"/>
    <n v="77.976326"/>
    <x v="525"/>
    <n v="76.071624999999997"/>
    <n v="77.643623000000005"/>
    <n v="20.443747999999999"/>
    <n v="2556624"/>
  </r>
  <r>
    <x v="648"/>
    <n v="76.936638000000002"/>
    <x v="526"/>
    <n v="76.936638000000002"/>
    <n v="78.550231999999994"/>
    <n v="20.682461"/>
    <n v="3110590"/>
  </r>
  <r>
    <x v="649"/>
    <n v="78.749847000000003"/>
    <x v="527"/>
    <n v="77.893150000000006"/>
    <n v="78.550231999999994"/>
    <n v="20.682461"/>
    <n v="4047186"/>
  </r>
  <r>
    <x v="650"/>
    <n v="79.431884999999994"/>
    <x v="528"/>
    <n v="76.853461999999993"/>
    <n v="79.390297000000004"/>
    <n v="20.903654"/>
    <n v="4689565"/>
  </r>
  <r>
    <x v="651"/>
    <n v="77.751755000000003"/>
    <x v="529"/>
    <n v="75.397902999999999"/>
    <n v="78.184264999999996"/>
    <n v="20.586099999999998"/>
    <n v="3266083"/>
  </r>
  <r>
    <x v="652"/>
    <n v="76.520767000000006"/>
    <x v="530"/>
    <n v="76.520767000000006"/>
    <n v="76.978226000000006"/>
    <n v="20.268549"/>
    <n v="2178276"/>
  </r>
  <r>
    <x v="653"/>
    <n v="77.435692000000003"/>
    <x v="531"/>
    <n v="76.895049999999998"/>
    <n v="77.685210999999995"/>
    <n v="20.454695000000001"/>
    <n v="1436194"/>
  </r>
  <r>
    <x v="654"/>
    <n v="78.017914000000005"/>
    <x v="532"/>
    <n v="77.685210999999995"/>
    <n v="77.352515999999994"/>
    <n v="20.367101999999999"/>
    <n v="2787979"/>
  </r>
  <r>
    <x v="655"/>
    <n v="77.019813999999997"/>
    <x v="533"/>
    <n v="76.104896999999994"/>
    <n v="78.017914000000005"/>
    <n v="20.542293999999998"/>
    <n v="2652374"/>
  </r>
  <r>
    <x v="656"/>
    <n v="77.518867"/>
    <x v="534"/>
    <n v="77.036452999999995"/>
    <n v="76.437591999999995"/>
    <n v="20.126197999999999"/>
    <n v="5447711"/>
  </r>
  <r>
    <x v="657"/>
    <n v="77.144576999999998"/>
    <x v="535"/>
    <n v="75.439491000000004"/>
    <n v="77.394103999999999"/>
    <n v="20.378048"/>
    <n v="6931947"/>
  </r>
  <r>
    <x v="658"/>
    <n v="75.896957"/>
    <x v="536"/>
    <n v="75.023621000000006"/>
    <n v="76.030036999999993"/>
    <n v="20.018889999999999"/>
    <n v="3993529"/>
  </r>
  <r>
    <x v="659"/>
    <n v="75.298096000000001"/>
    <x v="537"/>
    <n v="74.441399000000004"/>
    <n v="75.447815000000006"/>
    <n v="19.865583000000001"/>
    <n v="2635741"/>
  </r>
  <r>
    <x v="660"/>
    <n v="75.955177000000006"/>
    <x v="538"/>
    <n v="73.193779000000006"/>
    <n v="75.689018000000004"/>
    <n v="19.929089000000001"/>
    <n v="3095812"/>
  </r>
  <r>
    <x v="661"/>
    <n v="75.689018000000004"/>
    <x v="539"/>
    <n v="75.689018000000004"/>
    <n v="75.689018000000004"/>
    <n v="19.929089000000001"/>
    <n v="0"/>
  </r>
  <r>
    <x v="662"/>
    <n v="75.589211000000006"/>
    <x v="540"/>
    <n v="73.692824999999999"/>
    <n v="74.982033000000001"/>
    <n v="19.742944999999999"/>
    <n v="2289099"/>
  </r>
  <r>
    <x v="663"/>
    <n v="73.202095"/>
    <x v="541"/>
    <n v="71.946151999999998"/>
    <n v="73.934028999999995"/>
    <n v="19.466999000000001"/>
    <n v="3145794"/>
  </r>
  <r>
    <x v="664"/>
    <n v="72.445205999999999"/>
    <x v="542"/>
    <n v="72.445205999999999"/>
    <n v="71.996063000000007"/>
    <n v="18.956734000000001"/>
    <n v="3553195"/>
  </r>
  <r>
    <x v="665"/>
    <n v="72.362030000000004"/>
    <x v="543"/>
    <n v="71.879615999999999"/>
    <n v="74.150283999999999"/>
    <n v="20.182718000000001"/>
    <n v="2732818"/>
  </r>
  <r>
    <x v="666"/>
    <n v="72.769585000000006"/>
    <x v="544"/>
    <n v="71.613456999999997"/>
    <n v="72.578284999999994"/>
    <n v="19.754843000000001"/>
    <n v="1615154"/>
  </r>
  <r>
    <x v="667"/>
    <n v="72.420249999999996"/>
    <x v="545"/>
    <n v="71.530281000000002"/>
    <n v="72.520058000000006"/>
    <n v="19.738994999999999"/>
    <n v="1896448"/>
  </r>
  <r>
    <x v="668"/>
    <n v="72.520058000000006"/>
    <x v="546"/>
    <n v="72.520058000000006"/>
    <n v="72.520058000000006"/>
    <n v="19.738994999999999"/>
    <n v="0"/>
  </r>
  <r>
    <x v="669"/>
    <n v="71.530281000000002"/>
    <x v="503"/>
    <n v="70.041450999999995"/>
    <n v="72.029326999999995"/>
    <n v="19.605426999999999"/>
    <n v="1922385"/>
  </r>
  <r>
    <x v="670"/>
    <n v="70.033134000000004"/>
    <x v="547"/>
    <n v="70.033134000000004"/>
    <n v="70.873199"/>
    <n v="19.290738999999999"/>
    <n v="1761725"/>
  </r>
  <r>
    <x v="671"/>
    <n v="71.197586000000001"/>
    <x v="547"/>
    <n v="69.118217000000001"/>
    <n v="70.931426999999999"/>
    <n v="19.306588999999999"/>
    <n v="2411417"/>
  </r>
  <r>
    <x v="672"/>
    <n v="68.993454"/>
    <x v="548"/>
    <n v="66.880814000000001"/>
    <n v="69.242973000000006"/>
    <n v="18.847013"/>
    <n v="3083928"/>
  </r>
  <r>
    <x v="673"/>
    <n v="69.858467000000005"/>
    <x v="549"/>
    <n v="68.619163999999998"/>
    <n v="69.118217000000001"/>
    <n v="18.813057000000001"/>
    <n v="1126248"/>
  </r>
  <r>
    <x v="674"/>
    <n v="69.450912000000002"/>
    <x v="550"/>
    <n v="67.537895000000006"/>
    <n v="69.168120999999999"/>
    <n v="18.826643000000001"/>
    <n v="2352420"/>
  </r>
  <r>
    <x v="675"/>
    <n v="68.286468999999997"/>
    <x v="551"/>
    <n v="67.995354000000006"/>
    <n v="68.028625000000005"/>
    <n v="18.516480999999999"/>
    <n v="2232933"/>
  </r>
  <r>
    <x v="676"/>
    <n v="68.028625000000005"/>
    <x v="552"/>
    <n v="68.028625000000005"/>
    <n v="68.028625000000005"/>
    <n v="18.516480999999999"/>
    <n v="0"/>
  </r>
  <r>
    <x v="677"/>
    <n v="69.866791000000006"/>
    <x v="553"/>
    <n v="69.143165999999994"/>
    <n v="69.109893999999997"/>
    <n v="18.810794999999999"/>
    <n v="2778200"/>
  </r>
  <r>
    <x v="678"/>
    <n v="70.033134000000004"/>
    <x v="554"/>
    <n v="69.575676000000001"/>
    <n v="69.700439000000003"/>
    <n v="18.971534999999999"/>
    <n v="2652270"/>
  </r>
  <r>
    <x v="679"/>
    <n v="70.723488000000003"/>
    <x v="555"/>
    <n v="69.118217000000001"/>
    <n v="70.365836999999999"/>
    <n v="19.152643000000001"/>
    <n v="3515056"/>
  </r>
  <r>
    <x v="680"/>
    <n v="68.910278000000005"/>
    <x v="556"/>
    <n v="68.452811999999994"/>
    <n v="69.118217000000001"/>
    <n v="18.813057000000001"/>
    <n v="2867547"/>
  </r>
  <r>
    <x v="681"/>
    <n v="69.783614999999998"/>
    <x v="556"/>
    <n v="68.095161000000004"/>
    <n v="69.559036000000006"/>
    <n v="18.933046000000001"/>
    <n v="2911661"/>
  </r>
  <r>
    <x v="682"/>
    <n v="68.411231999999998"/>
    <x v="557"/>
    <n v="68.377960000000002"/>
    <n v="68.120116999999993"/>
    <n v="18.541388999999999"/>
    <n v="3073452"/>
  </r>
  <r>
    <x v="683"/>
    <n v="69.866791000000006"/>
    <x v="558"/>
    <n v="69.825194999999994"/>
    <n v="70.107994000000005"/>
    <n v="19.082464000000002"/>
    <n v="2704257"/>
  </r>
  <r>
    <x v="684"/>
    <n v="70.365836999999999"/>
    <x v="559"/>
    <n v="69.575676000000001"/>
    <n v="70.282661000000004"/>
    <n v="19.130002999999999"/>
    <n v="3581186"/>
  </r>
  <r>
    <x v="685"/>
    <n v="70.449012999999994"/>
    <x v="483"/>
    <n v="69.825194999999994"/>
    <n v="70.848251000000005"/>
    <n v="19.283957000000001"/>
    <n v="2646754"/>
  </r>
  <r>
    <x v="686"/>
    <n v="71.338982000000001"/>
    <x v="560"/>
    <n v="71.031234999999995"/>
    <n v="70.948059000000001"/>
    <n v="19.311119000000001"/>
    <n v="2426417"/>
  </r>
  <r>
    <x v="687"/>
    <n v="71.571869000000007"/>
    <x v="561"/>
    <n v="70.715171999999995"/>
    <n v="71.521964999999994"/>
    <n v="19.467328999999999"/>
    <n v="16150560"/>
  </r>
  <r>
    <x v="688"/>
    <n v="71.122726"/>
    <x v="562"/>
    <n v="70.864883000000006"/>
    <n v="70.715171999999995"/>
    <n v="19.247726"/>
    <n v="3283282"/>
  </r>
  <r>
    <x v="689"/>
    <n v="71.946151999999998"/>
    <x v="502"/>
    <n v="71.322342000000006"/>
    <n v="72.104186999999996"/>
    <n v="19.625799000000001"/>
    <n v="1913860"/>
  </r>
  <r>
    <x v="690"/>
    <n v="71.488692999999998"/>
    <x v="563"/>
    <n v="70.881516000000005"/>
    <n v="71.738219999999998"/>
    <n v="19.526184000000001"/>
    <n v="2123051"/>
  </r>
  <r>
    <x v="691"/>
    <n v="71.114410000000007"/>
    <x v="564"/>
    <n v="70.831612000000007"/>
    <n v="71.363929999999996"/>
    <n v="19.424313000000001"/>
    <n v="2370673"/>
  </r>
  <r>
    <x v="692"/>
    <n v="70.706856000000002"/>
    <x v="565"/>
    <n v="70.282661000000004"/>
    <n v="70.831612000000007"/>
    <n v="19.279423000000001"/>
    <n v="2194875"/>
  </r>
  <r>
    <x v="693"/>
    <n v="71.530281000000002"/>
    <x v="566"/>
    <n v="70.731803999999997"/>
    <n v="71.264122"/>
    <n v="19.397145999999999"/>
    <n v="1774201"/>
  </r>
  <r>
    <x v="694"/>
    <n v="71.197586000000001"/>
    <x v="567"/>
    <n v="70.340880999999996"/>
    <n v="71.272437999999994"/>
    <n v="19.399408000000001"/>
    <n v="1759654"/>
  </r>
  <r>
    <x v="695"/>
    <n v="70.823295999999999"/>
    <x v="568"/>
    <n v="69.534087999999997"/>
    <n v="70.723488000000003"/>
    <n v="19.249991999999999"/>
    <n v="2001274"/>
  </r>
  <r>
    <x v="696"/>
    <n v="71.280761999999996"/>
    <x v="569"/>
    <n v="70.906470999999996"/>
    <n v="70.199485999999993"/>
    <n v="19.107368000000001"/>
    <n v="5078270"/>
  </r>
  <r>
    <x v="697"/>
    <n v="72.362030000000004"/>
    <x v="570"/>
    <n v="71.114410000000007"/>
    <n v="72.245582999999996"/>
    <n v="19.664283999999999"/>
    <n v="2105201"/>
  </r>
  <r>
    <x v="698"/>
    <n v="71.729904000000005"/>
    <x v="571"/>
    <n v="71.530281000000002"/>
    <n v="71.197586000000001"/>
    <n v="19.37903"/>
    <n v="2439395"/>
  </r>
  <r>
    <x v="699"/>
    <n v="73.601333999999994"/>
    <x v="572"/>
    <n v="72.569969"/>
    <n v="72.786216999999994"/>
    <n v="19.811440999999999"/>
    <n v="2799594"/>
  </r>
  <r>
    <x v="700"/>
    <n v="73.701141000000007"/>
    <x v="573"/>
    <n v="73.526473999999993"/>
    <n v="74.108695999999995"/>
    <n v="20.171403999999999"/>
    <n v="2180206"/>
  </r>
  <r>
    <x v="701"/>
    <n v="74.166923999999995"/>
    <x v="574"/>
    <n v="72.694725000000005"/>
    <n v="73.958984000000001"/>
    <n v="20.130652999999999"/>
    <n v="2016573"/>
  </r>
  <r>
    <x v="702"/>
    <n v="72.944252000000006"/>
    <x v="542"/>
    <n v="72.944252000000006"/>
    <n v="73.734413000000004"/>
    <n v="20.069523"/>
    <n v="2610261"/>
  </r>
  <r>
    <x v="703"/>
    <n v="74.233458999999996"/>
    <x v="575"/>
    <n v="73.318541999999994"/>
    <n v="73.734413000000004"/>
    <n v="20.069523"/>
    <n v="1842176"/>
  </r>
  <r>
    <x v="704"/>
    <n v="73.484886000000003"/>
    <x v="469"/>
    <n v="72.611548999999997"/>
    <n v="73.318541999999994"/>
    <n v="19.956329"/>
    <n v="1619536"/>
  </r>
  <r>
    <x v="705"/>
    <n v="72.777901"/>
    <x v="542"/>
    <n v="72.777901"/>
    <n v="72.927620000000005"/>
    <n v="19.849926"/>
    <n v="2610548"/>
  </r>
  <r>
    <x v="706"/>
    <n v="72.910979999999995"/>
    <x v="576"/>
    <n v="72.362030000000004"/>
    <n v="73.069016000000005"/>
    <n v="19.888418000000001"/>
    <n v="2263626"/>
  </r>
  <r>
    <x v="707"/>
    <n v="73.110602999999998"/>
    <x v="576"/>
    <n v="72.944252000000006"/>
    <n v="73.069016000000005"/>
    <n v="19.888418000000001"/>
    <n v="2243406"/>
  </r>
  <r>
    <x v="708"/>
    <n v="73.110602999999998"/>
    <x v="576"/>
    <n v="72.611548999999997"/>
    <n v="73.276955000000001"/>
    <n v="19.945017"/>
    <n v="1446187"/>
  </r>
  <r>
    <x v="709"/>
    <n v="72.611548999999997"/>
    <x v="577"/>
    <n v="70.324248999999995"/>
    <n v="72.861075999999997"/>
    <n v="19.831817999999998"/>
    <n v="2930177"/>
  </r>
  <r>
    <x v="710"/>
    <n v="70.282661000000004"/>
    <x v="578"/>
    <n v="69.251296999999994"/>
    <n v="70.432372999999998"/>
    <n v="19.170755"/>
    <n v="3621534"/>
  </r>
  <r>
    <x v="711"/>
    <n v="69.800246999999999"/>
    <x v="556"/>
    <n v="68.136748999999995"/>
    <n v="69.450912000000002"/>
    <n v="18.903611999999999"/>
    <n v="4154003"/>
  </r>
  <r>
    <x v="712"/>
    <n v="68.702338999999995"/>
    <x v="579"/>
    <n v="66.747733999999994"/>
    <n v="68.369643999999994"/>
    <n v="18.609307999999999"/>
    <n v="4357502"/>
  </r>
  <r>
    <x v="713"/>
    <n v="67.246780000000001"/>
    <x v="580"/>
    <n v="65.125823999999994"/>
    <n v="66.797638000000006"/>
    <n v="18.181432999999998"/>
    <n v="4777487"/>
  </r>
  <r>
    <x v="714"/>
    <n v="65.633194000000003"/>
    <x v="581"/>
    <n v="65.142464000000004"/>
    <n v="65.857765000000001"/>
    <n v="17.925608"/>
    <n v="3024142"/>
  </r>
  <r>
    <x v="715"/>
    <n v="65.915985000000006"/>
    <x v="582"/>
    <n v="65.209000000000003"/>
    <n v="65.391982999999996"/>
    <n v="17.798824"/>
    <n v="3341609"/>
  </r>
  <r>
    <x v="716"/>
    <n v="66.664558"/>
    <x v="583"/>
    <n v="61.258201999999997"/>
    <n v="66.539794999999998"/>
    <n v="18.111243999999999"/>
    <n v="10833502"/>
  </r>
  <r>
    <x v="717"/>
    <n v="61.258201999999997"/>
    <x v="584"/>
    <n v="57.681685999999999"/>
    <n v="61.549312999999998"/>
    <n v="16.752907"/>
    <n v="12628105"/>
  </r>
  <r>
    <x v="718"/>
    <n v="57.889622000000003"/>
    <x v="585"/>
    <n v="57.473751"/>
    <n v="59.220421000000002"/>
    <n v="16.119011"/>
    <n v="8792293"/>
  </r>
  <r>
    <x v="719"/>
    <n v="58.513435000000001"/>
    <x v="586"/>
    <n v="58.055973000000002"/>
    <n v="58.646515000000001"/>
    <n v="15.962799"/>
    <n v="6281901"/>
  </r>
  <r>
    <x v="720"/>
    <n v="59.087341000000002"/>
    <x v="587"/>
    <n v="58.555019000000001"/>
    <n v="59.137245"/>
    <n v="16.096371000000001"/>
    <n v="4276307"/>
  </r>
  <r>
    <x v="721"/>
    <n v="58.563338999999999"/>
    <x v="588"/>
    <n v="57.398890999999999"/>
    <n v="58.970894000000001"/>
    <n v="16.051089999999999"/>
    <n v="5679245"/>
  </r>
  <r>
    <x v="722"/>
    <n v="58.363720000000001"/>
    <x v="589"/>
    <n v="57.789814"/>
    <n v="57.781494000000002"/>
    <n v="15.727353000000001"/>
    <n v="3836494"/>
  </r>
  <r>
    <x v="723"/>
    <n v="58.222321000000001"/>
    <x v="590"/>
    <n v="57.814765999999999"/>
    <n v="58.222321000000001"/>
    <n v="15.847338000000001"/>
    <n v="3132230"/>
  </r>
  <r>
    <x v="724"/>
    <n v="58.887718"/>
    <x v="591"/>
    <n v="57.473751"/>
    <n v="58.796227000000002"/>
    <n v="16.003550000000001"/>
    <n v="3513898"/>
  </r>
  <r>
    <x v="725"/>
    <n v="57.972797"/>
    <x v="592"/>
    <n v="57.681685999999999"/>
    <n v="57.723274000000004"/>
    <n v="15.711508"/>
    <n v="2094477"/>
  </r>
  <r>
    <x v="726"/>
    <n v="58.970894000000001"/>
    <x v="588"/>
    <n v="58.055973000000002"/>
    <n v="58.055973000000002"/>
    <n v="15.802063"/>
    <n v="2647123"/>
  </r>
  <r>
    <x v="727"/>
    <n v="58.604927000000004"/>
    <x v="593"/>
    <n v="58.055973000000002"/>
    <n v="58.804546000000002"/>
    <n v="16.005817"/>
    <n v="2813097"/>
  </r>
  <r>
    <x v="728"/>
    <n v="60.975406999999997"/>
    <x v="594"/>
    <n v="60.426453000000002"/>
    <n v="60.210197000000001"/>
    <n v="16.388414000000001"/>
    <n v="2631450"/>
  </r>
  <r>
    <x v="729"/>
    <n v="61.041946000000003"/>
    <x v="595"/>
    <n v="59.885818"/>
    <n v="60.759151000000003"/>
    <n v="16.537834"/>
    <n v="2661153"/>
  </r>
  <r>
    <x v="730"/>
    <n v="61.590899999999998"/>
    <x v="596"/>
    <n v="60.892231000000002"/>
    <n v="61.299788999999997"/>
    <n v="16.684984"/>
    <n v="3000951"/>
  </r>
  <r>
    <x v="731"/>
    <n v="61.116802"/>
    <x v="597"/>
    <n v="59.395083999999997"/>
    <n v="60.933819"/>
    <n v="16.585374999999999"/>
    <n v="3078409"/>
  </r>
  <r>
    <x v="732"/>
    <n v="59.736103"/>
    <x v="598"/>
    <n v="58.812862000000003"/>
    <n v="59.478259999999999"/>
    <n v="16.18919"/>
    <n v="3364085"/>
  </r>
  <r>
    <x v="733"/>
    <n v="59.561436"/>
    <x v="599"/>
    <n v="59.428356000000001"/>
    <n v="59.054070000000003"/>
    <n v="16.073730000000001"/>
    <n v="1646313"/>
  </r>
  <r>
    <x v="734"/>
    <n v="60.709248000000002"/>
    <x v="600"/>
    <n v="60.168610000000001"/>
    <n v="60.043849999999999"/>
    <n v="16.343133999999999"/>
    <n v="2362409"/>
  </r>
  <r>
    <x v="735"/>
    <n v="60.501308000000002"/>
    <x v="601"/>
    <n v="60.384864999999998"/>
    <n v="60.576168000000003"/>
    <n v="16.488026000000001"/>
    <n v="2699944"/>
  </r>
  <r>
    <x v="736"/>
    <n v="61.540996999999997"/>
    <x v="602"/>
    <n v="60.942135"/>
    <n v="60.950454999999998"/>
    <n v="16.589905000000002"/>
    <n v="2696433"/>
  </r>
  <r>
    <x v="737"/>
    <n v="61.050261999999996"/>
    <x v="603"/>
    <n v="60.883915000000002"/>
    <n v="61.407913000000001"/>
    <n v="16.714417999999998"/>
    <n v="2930748"/>
  </r>
  <r>
    <x v="738"/>
    <n v="61.133437999999998"/>
    <x v="604"/>
    <n v="60.468040000000002"/>
    <n v="61.349693000000002"/>
    <n v="16.69857"/>
    <n v="1174626"/>
  </r>
  <r>
    <x v="739"/>
    <n v="60.534579999999998"/>
    <x v="605"/>
    <n v="59.095657000000003"/>
    <n v="61.125121999999998"/>
    <n v="16.637442"/>
    <n v="2800206"/>
  </r>
  <r>
    <x v="740"/>
    <n v="59.345180999999997"/>
    <x v="606"/>
    <n v="58.979213999999999"/>
    <n v="59.095657000000003"/>
    <n v="16.085052000000001"/>
    <n v="2223893"/>
  </r>
  <r>
    <x v="741"/>
    <n v="59.927405999999998"/>
    <x v="607"/>
    <n v="58.355404"/>
    <n v="59.711151000000001"/>
    <n v="16.252586000000001"/>
    <n v="2563745"/>
  </r>
  <r>
    <x v="742"/>
    <n v="58.962578000000001"/>
    <x v="608"/>
    <n v="58.496799000000003"/>
    <n v="58.787909999999997"/>
    <n v="16.001286"/>
    <n v="2258214"/>
  </r>
  <r>
    <x v="743"/>
    <n v="60.276736999999997"/>
    <x v="609"/>
    <n v="59.802643000000003"/>
    <n v="59.968989999999998"/>
    <n v="16.322759999999999"/>
    <n v="1509429"/>
  </r>
  <r>
    <x v="744"/>
    <n v="60.883915000000002"/>
    <x v="610"/>
    <n v="60.492992000000001"/>
    <n v="60.642707999999999"/>
    <n v="16.506138"/>
    <n v="2097118"/>
  </r>
  <r>
    <x v="745"/>
    <n v="60.717564000000003"/>
    <x v="611"/>
    <n v="59.328544999999998"/>
    <n v="60.842326999999997"/>
    <n v="16.560472000000001"/>
    <n v="1867214"/>
  </r>
  <r>
    <x v="746"/>
    <n v="59.752738999999998"/>
    <x v="612"/>
    <n v="59.627974999999999"/>
    <n v="60.226832999999999"/>
    <n v="16.392938999999998"/>
    <n v="1928444"/>
  </r>
  <r>
    <x v="747"/>
    <n v="59.761054999999999"/>
    <x v="613"/>
    <n v="59.270325"/>
    <n v="59.885818"/>
    <n v="16.300125000000001"/>
    <n v="3685711"/>
  </r>
  <r>
    <x v="748"/>
    <n v="60.717564000000003"/>
    <x v="614"/>
    <n v="60.509627999999999"/>
    <n v="60.426453000000002"/>
    <n v="16.447272999999999"/>
    <n v="2903776"/>
  </r>
  <r>
    <x v="749"/>
    <n v="61.091850000000001"/>
    <x v="615"/>
    <n v="59.761054999999999"/>
    <n v="60.509627999999999"/>
    <n v="16.469915"/>
    <n v="6135921"/>
  </r>
  <r>
    <x v="750"/>
    <n v="59.885818"/>
    <x v="616"/>
    <n v="58.430259999999997"/>
    <n v="59.885818"/>
    <n v="16.300125000000001"/>
    <n v="5357448"/>
  </r>
  <r>
    <x v="751"/>
    <n v="58.214005"/>
    <x v="617"/>
    <n v="56.142955999999998"/>
    <n v="58.929310000000001"/>
    <n v="16.039776"/>
    <n v="9224126"/>
  </r>
  <r>
    <x v="752"/>
    <n v="56.808352999999997"/>
    <x v="618"/>
    <n v="55.99324"/>
    <n v="56.142955999999998"/>
    <n v="15.281363000000001"/>
    <n v="9696207"/>
  </r>
  <r>
    <x v="753"/>
    <n v="57.182636000000002"/>
    <x v="619"/>
    <n v="56.683590000000002"/>
    <n v="56.725178"/>
    <n v="15.439838"/>
    <n v="3871022"/>
  </r>
  <r>
    <x v="754"/>
    <n v="57.473751"/>
    <x v="620"/>
    <n v="56.151271999999999"/>
    <n v="57.207588000000001"/>
    <n v="15.571144"/>
    <n v="3075877"/>
  </r>
  <r>
    <x v="755"/>
    <n v="56.018191999999999"/>
    <x v="621"/>
    <n v="55.519142000000002"/>
    <n v="56.392479000000002"/>
    <n v="15.349284000000001"/>
    <n v="2710149"/>
  </r>
  <r>
    <x v="756"/>
    <n v="55.643906000000001"/>
    <x v="622"/>
    <n v="53.564537000000001"/>
    <n v="55.535778000000001"/>
    <n v="15.116104"/>
    <n v="6269744"/>
  </r>
  <r>
    <x v="757"/>
    <n v="52.732787999999999"/>
    <x v="623"/>
    <n v="52.616343999999998"/>
    <n v="53.797423999999999"/>
    <n v="14.642944"/>
    <n v="5357639"/>
  </r>
  <r>
    <x v="758"/>
    <n v="54.146759000000003"/>
    <x v="624"/>
    <n v="54.113491000000003"/>
    <n v="53.855648000000002"/>
    <n v="14.65879"/>
    <n v="3602042"/>
  </r>
  <r>
    <x v="759"/>
    <n v="55.727080999999998"/>
    <x v="625"/>
    <n v="53.897235999999999"/>
    <n v="55.42765"/>
    <n v="15.086672"/>
    <n v="3749514"/>
  </r>
  <r>
    <x v="760"/>
    <n v="54.387965999999999"/>
    <x v="626"/>
    <n v="53.897235999999999"/>
    <n v="53.997044000000002"/>
    <n v="14.697276"/>
    <n v="2668396"/>
  </r>
  <r>
    <x v="761"/>
    <n v="54.105170999999999"/>
    <x v="627"/>
    <n v="53.439774"/>
    <n v="54.396281999999999"/>
    <n v="14.805944"/>
    <n v="3181500"/>
  </r>
  <r>
    <x v="762"/>
    <n v="54.479458000000001"/>
    <x v="628"/>
    <n v="53.656028999999997"/>
    <n v="54.146759000000003"/>
    <n v="14.738028999999999"/>
    <n v="3092765"/>
  </r>
  <r>
    <x v="763"/>
    <n v="54.321426000000002"/>
    <x v="629"/>
    <n v="54.229934999999998"/>
    <n v="54.188347"/>
    <n v="14.749345"/>
    <n v="2297830"/>
  </r>
  <r>
    <x v="764"/>
    <n v="55.228031000000001"/>
    <x v="630"/>
    <n v="55.228031000000001"/>
    <n v="54.820476999999997"/>
    <n v="14.921403"/>
    <n v="5326875"/>
  </r>
  <r>
    <x v="765"/>
    <n v="56.392479000000002"/>
    <x v="631"/>
    <n v="55.485874000000003"/>
    <n v="56.766765999999997"/>
    <n v="15.451159000000001"/>
    <n v="2579395"/>
  </r>
  <r>
    <x v="766"/>
    <n v="56.558826000000003"/>
    <x v="632"/>
    <n v="56.434066999999999"/>
    <n v="56.059780000000003"/>
    <n v="15.258727"/>
    <n v="2865301"/>
  </r>
  <r>
    <x v="767"/>
    <n v="56.974701000000003"/>
    <x v="633"/>
    <n v="56.625366"/>
    <n v="57.141052000000002"/>
    <n v="15.553034"/>
    <n v="3170886"/>
  </r>
  <r>
    <x v="768"/>
    <n v="57.299084000000001"/>
    <x v="634"/>
    <n v="56.808352999999997"/>
    <n v="56.650317999999999"/>
    <n v="15.419463"/>
    <n v="2048067"/>
  </r>
  <r>
    <x v="769"/>
    <n v="57.764862000000001"/>
    <x v="635"/>
    <n v="56.642001999999998"/>
    <n v="57.764862000000001"/>
    <n v="15.722830999999999"/>
    <n v="1837698"/>
  </r>
  <r>
    <x v="770"/>
    <n v="56.392479000000002"/>
    <x v="636"/>
    <n v="56.151271999999999"/>
    <n v="56.816668999999997"/>
    <n v="15.464741"/>
    <n v="1902369"/>
  </r>
  <r>
    <x v="771"/>
    <n v="56.142955999999998"/>
    <x v="637"/>
    <n v="56.142955999999998"/>
    <n v="56.558826000000003"/>
    <n v="15.394558999999999"/>
    <n v="8617335"/>
  </r>
  <r>
    <x v="772"/>
    <n v="57.390574999999998"/>
    <x v="620"/>
    <n v="55.984921"/>
    <n v="57.556922999999998"/>
    <n v="15.666226999999999"/>
    <n v="4813714"/>
  </r>
  <r>
    <x v="773"/>
    <n v="56.018191999999999"/>
    <x v="638"/>
    <n v="55.036727999999997"/>
    <n v="56.858257000000002"/>
    <n v="15.476061"/>
    <n v="2371116"/>
  </r>
  <r>
    <x v="774"/>
    <n v="55.851841"/>
    <x v="639"/>
    <n v="55.727080999999998"/>
    <n v="55.494190000000003"/>
    <n v="15.104780999999999"/>
    <n v="2769220"/>
  </r>
  <r>
    <x v="775"/>
    <n v="57.473751"/>
    <x v="640"/>
    <n v="57.016289"/>
    <n v="57.548606999999997"/>
    <n v="15.663964"/>
    <n v="2166995"/>
  </r>
  <r>
    <x v="776"/>
    <n v="57.79813"/>
    <x v="641"/>
    <n v="56.558826000000003"/>
    <n v="57.598511000000002"/>
    <n v="15.677548"/>
    <n v="1657357"/>
  </r>
  <r>
    <x v="777"/>
    <n v="57.398890999999999"/>
    <x v="642"/>
    <n v="57.398890999999999"/>
    <n v="57.141052000000002"/>
    <n v="15.553034"/>
    <n v="2292467"/>
  </r>
  <r>
    <x v="778"/>
    <n v="58.846133999999999"/>
    <x v="643"/>
    <n v="58.272227999999998"/>
    <n v="58.887718"/>
    <n v="16.028454"/>
    <n v="2187043"/>
  </r>
  <r>
    <x v="779"/>
    <n v="58.513435000000001"/>
    <x v="644"/>
    <n v="58.513435000000001"/>
    <n v="58.721370999999998"/>
    <n v="15.983177"/>
    <n v="4055452"/>
  </r>
  <r>
    <x v="780"/>
    <n v="59.802643000000003"/>
    <x v="645"/>
    <n v="59.536484000000002"/>
    <n v="60.127026000000001"/>
    <n v="16.365776"/>
    <n v="2461057"/>
  </r>
  <r>
    <x v="781"/>
    <n v="60.102074000000002"/>
    <x v="646"/>
    <n v="59.228737000000002"/>
    <n v="59.802643000000003"/>
    <n v="16.277483"/>
    <n v="3787064"/>
  </r>
  <r>
    <x v="782"/>
    <n v="61.466137000000003"/>
    <x v="647"/>
    <n v="61.141753999999999"/>
    <n v="61.175026000000003"/>
    <n v="16.651028"/>
    <n v="3818328"/>
  </r>
  <r>
    <x v="783"/>
    <n v="61.540996999999997"/>
    <x v="647"/>
    <n v="61.050261999999996"/>
    <n v="61.391280999999999"/>
    <n v="16.709892"/>
    <n v="1258285"/>
  </r>
  <r>
    <x v="784"/>
    <n v="60.717564000000003"/>
    <x v="612"/>
    <n v="59.603023999999998"/>
    <n v="61.133437999999998"/>
    <n v="16.639707999999999"/>
    <n v="3161898"/>
  </r>
  <r>
    <x v="785"/>
    <n v="59.719467000000002"/>
    <x v="598"/>
    <n v="59.295276999999999"/>
    <n v="60.077117999999999"/>
    <n v="16.352195999999999"/>
    <n v="2421032"/>
  </r>
  <r>
    <x v="786"/>
    <n v="59.719467000000002"/>
    <x v="605"/>
    <n v="59.070704999999997"/>
    <n v="59.594707"/>
    <n v="16.220884000000002"/>
    <n v="2861259"/>
  </r>
  <r>
    <x v="787"/>
    <n v="60.168610000000001"/>
    <x v="648"/>
    <n v="60.093753999999997"/>
    <n v="59.927405999999998"/>
    <n v="16.311440999999999"/>
    <n v="2290547"/>
  </r>
  <r>
    <x v="788"/>
    <n v="60.135342000000001"/>
    <x v="649"/>
    <n v="59.494895999999997"/>
    <n v="60.093753999999997"/>
    <n v="16.356719999999999"/>
    <n v="1568722"/>
  </r>
  <r>
    <x v="789"/>
    <n v="60.052166"/>
    <x v="645"/>
    <n v="59.145561000000001"/>
    <n v="60.093753999999997"/>
    <n v="16.356719999999999"/>
    <n v="2513393"/>
  </r>
  <r>
    <x v="790"/>
    <n v="59.270325"/>
    <x v="650"/>
    <n v="58.430259999999997"/>
    <n v="59.395083999999997"/>
    <n v="16.166551999999999"/>
    <n v="2830969"/>
  </r>
  <r>
    <x v="791"/>
    <n v="58.413623999999999"/>
    <x v="651"/>
    <n v="57.656734"/>
    <n v="58.787909999999997"/>
    <n v="16.001286"/>
    <n v="3057853"/>
  </r>
  <r>
    <x v="792"/>
    <n v="57.390574999999998"/>
    <x v="619"/>
    <n v="56.808352999999997"/>
    <n v="57.939529"/>
    <n v="15.77037"/>
    <n v="3321084"/>
  </r>
  <r>
    <x v="793"/>
    <n v="57.681685999999999"/>
    <x v="652"/>
    <n v="57.074511999999999"/>
    <n v="57.423842999999998"/>
    <n v="15.630005000000001"/>
    <n v="2144274"/>
  </r>
  <r>
    <x v="794"/>
    <n v="57.598511000000002"/>
    <x v="588"/>
    <n v="57.224224"/>
    <n v="57.681685999999999"/>
    <n v="15.700189"/>
    <n v="3168963"/>
  </r>
  <r>
    <x v="795"/>
    <n v="59.203785000000003"/>
    <x v="653"/>
    <n v="58.638195000000003"/>
    <n v="58.846133999999999"/>
    <n v="16.017136000000001"/>
    <n v="3191525"/>
  </r>
  <r>
    <x v="796"/>
    <n v="59.212100999999997"/>
    <x v="637"/>
    <n v="57.897942"/>
    <n v="58.762959000000002"/>
    <n v="15.994498"/>
    <n v="2218007"/>
  </r>
  <r>
    <x v="797"/>
    <n v="58.396988"/>
    <x v="654"/>
    <n v="57.556922999999998"/>
    <n v="58.172417000000003"/>
    <n v="15.833758"/>
    <n v="4070554"/>
  </r>
  <r>
    <x v="798"/>
    <n v="57.972797"/>
    <x v="655"/>
    <n v="56.617049999999999"/>
    <n v="57.814765999999999"/>
    <n v="15.736409999999999"/>
    <n v="2514557"/>
  </r>
  <r>
    <x v="799"/>
    <n v="57.141052000000002"/>
    <x v="656"/>
    <n v="56.974701000000003"/>
    <n v="57.099463999999998"/>
    <n v="15.541715"/>
    <n v="2473970"/>
  </r>
  <r>
    <x v="800"/>
    <n v="57.182636000000002"/>
    <x v="657"/>
    <n v="56.974701000000003"/>
    <n v="57.706637999999998"/>
    <n v="15.706979"/>
    <n v="1991977"/>
  </r>
  <r>
    <x v="801"/>
    <n v="57.806449999999998"/>
    <x v="658"/>
    <n v="56.558826000000003"/>
    <n v="57.806449999999998"/>
    <n v="15.734146000000001"/>
    <n v="2400098"/>
  </r>
  <r>
    <x v="802"/>
    <n v="57.390574999999998"/>
    <x v="659"/>
    <n v="56.400795000000002"/>
    <n v="57.290764000000003"/>
    <n v="15.593783999999999"/>
    <n v="2296649"/>
  </r>
  <r>
    <x v="803"/>
    <n v="56.517238999999996"/>
    <x v="660"/>
    <n v="55.976604000000002"/>
    <n v="56.558826000000003"/>
    <n v="15.394558999999999"/>
    <n v="2158008"/>
  </r>
  <r>
    <x v="804"/>
    <n v="56.059780000000003"/>
    <x v="661"/>
    <n v="55.668858"/>
    <n v="56.226128000000003"/>
    <n v="15.304"/>
    <n v="2693321"/>
  </r>
  <r>
    <x v="805"/>
    <n v="56.434066999999999"/>
    <x v="662"/>
    <n v="55.444285999999998"/>
    <n v="56.558826000000003"/>
    <n v="15.394558999999999"/>
    <n v="2462568"/>
  </r>
  <r>
    <x v="806"/>
    <n v="56.059780000000003"/>
    <x v="663"/>
    <n v="54.229934999999998"/>
    <n v="55.935017000000002"/>
    <n v="15.224766000000001"/>
    <n v="3563611"/>
  </r>
  <r>
    <x v="807"/>
    <n v="55.153174999999997"/>
    <x v="664"/>
    <n v="54.978507999999998"/>
    <n v="55.178127000000003"/>
    <n v="15.018751999999999"/>
    <n v="3718362"/>
  </r>
  <r>
    <x v="808"/>
    <n v="56.059780000000003"/>
    <x v="665"/>
    <n v="55.727080999999998"/>
    <n v="55.178127000000003"/>
    <n v="15.018751999999999"/>
    <n v="4379563"/>
  </r>
  <r>
    <x v="809"/>
    <n v="56.142955999999998"/>
    <x v="666"/>
    <n v="55.444285999999998"/>
    <n v="55.935017000000002"/>
    <n v="15.224766000000001"/>
    <n v="2498542"/>
  </r>
  <r>
    <x v="810"/>
    <n v="55.552413999999999"/>
    <x v="667"/>
    <n v="55.061684"/>
    <n v="55.710445"/>
    <n v="15.163644"/>
    <n v="2549142"/>
  </r>
  <r>
    <x v="811"/>
    <n v="55.460921999999997"/>
    <x v="668"/>
    <n v="54.338062000000001"/>
    <n v="55.56073"/>
    <n v="15.122892"/>
    <n v="3146174"/>
  </r>
  <r>
    <x v="812"/>
    <n v="54.587584999999997"/>
    <x v="669"/>
    <n v="54.587584999999997"/>
    <n v="54.521045999999998"/>
    <n v="14.839904000000001"/>
    <n v="2357708"/>
  </r>
  <r>
    <x v="813"/>
    <n v="55.327843000000001"/>
    <x v="670"/>
    <n v="55.327843000000001"/>
    <n v="55.56073"/>
    <n v="15.122892"/>
    <n v="2252549"/>
  </r>
  <r>
    <x v="814"/>
    <n v="55.685493000000001"/>
    <x v="671"/>
    <n v="55.435966000000001"/>
    <n v="55.56073"/>
    <n v="15.122892"/>
    <n v="3204339"/>
  </r>
  <r>
    <x v="815"/>
    <n v="56.617049999999999"/>
    <x v="637"/>
    <n v="56.434066999999999"/>
    <n v="56.558826000000003"/>
    <n v="15.394558999999999"/>
    <n v="4505625"/>
  </r>
  <r>
    <x v="816"/>
    <n v="59.137245"/>
    <x v="672"/>
    <n v="59.012481999999999"/>
    <n v="59.012481999999999"/>
    <n v="16.062415999999999"/>
    <n v="8996793"/>
  </r>
  <r>
    <x v="817"/>
    <n v="61.590899999999998"/>
    <x v="673"/>
    <n v="59.644610999999998"/>
    <n v="60.917183000000001"/>
    <n v="16.580846999999999"/>
    <n v="7217536"/>
  </r>
  <r>
    <x v="818"/>
    <n v="59.927405999999998"/>
    <x v="674"/>
    <n v="58.729686999999998"/>
    <n v="60.077117999999999"/>
    <n v="16.352195999999999"/>
    <n v="2097392"/>
  </r>
  <r>
    <x v="819"/>
    <n v="58.762959000000002"/>
    <x v="675"/>
    <n v="58.762959000000002"/>
    <n v="58.887718"/>
    <n v="16.028454"/>
    <n v="2228018"/>
  </r>
  <r>
    <x v="820"/>
    <n v="60.675975999999999"/>
    <x v="676"/>
    <n v="60.035533999999998"/>
    <n v="60.226832999999999"/>
    <n v="16.392938999999998"/>
    <n v="1989887"/>
  </r>
  <r>
    <x v="821"/>
    <n v="60.218516999999999"/>
    <x v="605"/>
    <n v="59.137245"/>
    <n v="60.035533999999998"/>
    <n v="16.340872000000001"/>
    <n v="2696100"/>
  </r>
  <r>
    <x v="822"/>
    <n v="60.035533999999998"/>
    <x v="616"/>
    <n v="60.035533999999998"/>
    <n v="60.035533999999998"/>
    <n v="16.340872000000001"/>
    <n v="0"/>
  </r>
  <r>
    <x v="823"/>
    <n v="60.717564000000003"/>
    <x v="677"/>
    <n v="59.719467000000002"/>
    <n v="60.276736999999997"/>
    <n v="16.406524999999998"/>
    <n v="2932825"/>
  </r>
  <r>
    <x v="824"/>
    <n v="60.925502999999999"/>
    <x v="678"/>
    <n v="60.925502999999999"/>
    <n v="60.717564000000003"/>
    <n v="16.526512"/>
    <n v="2576998"/>
  </r>
  <r>
    <x v="825"/>
    <n v="62.705441"/>
    <x v="679"/>
    <n v="62.381062"/>
    <n v="62.040042999999997"/>
    <n v="16.886472999999999"/>
    <n v="3733826"/>
  </r>
  <r>
    <x v="826"/>
    <n v="64.543602000000007"/>
    <x v="680"/>
    <n v="64.044556"/>
    <n v="63.711857000000002"/>
    <n v="17.341518000000001"/>
    <n v="1612120"/>
  </r>
  <r>
    <x v="827"/>
    <n v="63.711857000000002"/>
    <x v="681"/>
    <n v="63.711857000000002"/>
    <n v="63.711857000000002"/>
    <n v="17.34151800000000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603FA-EDFD-46BC-B987-8103E18E65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3:K16" firstHeaderRow="1" firstDataRow="1" firstDataCol="1"/>
  <pivotFields count="10">
    <pivotField numFmtId="14" showAll="0">
      <items count="8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7"/>
  </rowFields>
  <rowItems count="13">
    <i>
      <x v="12"/>
    </i>
    <i>
      <x v="7"/>
    </i>
    <i>
      <x v="4"/>
    </i>
    <i>
      <x v="5"/>
    </i>
    <i>
      <x v="11"/>
    </i>
    <i>
      <x v="6"/>
    </i>
    <i>
      <x v="3"/>
    </i>
    <i>
      <x v="8"/>
    </i>
    <i>
      <x v="9"/>
    </i>
    <i>
      <x v="1"/>
    </i>
    <i>
      <x v="10"/>
    </i>
    <i>
      <x v="2"/>
    </i>
    <i t="grand">
      <x/>
    </i>
  </rowItems>
  <colItems count="1">
    <i/>
  </colItems>
  <dataFields count="1">
    <dataField name="Sum of Open" fld="1" baseField="0" baseItem="0" numFmtId="9"/>
  </dataFields>
  <formats count="4">
    <format dxfId="4">
      <pivotArea dataOnly="0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collapsedLevelsAreSubtotals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outline="0" collapsedLevelsAreSubtotals="1" fieldPosition="0"/>
    </format>
  </formats>
  <chartFormats count="1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D6595-255D-42A2-9539-06C78D1EB8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G3:H16" firstHeaderRow="1" firstDataRow="1" firstDataCol="1"/>
  <pivotFields count="10">
    <pivotField numFmtId="14" showAll="0">
      <items count="8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showAll="0"/>
    <pivotField showAll="0" sortType="ascending">
      <items count="683">
        <item x="0"/>
        <item x="1"/>
        <item x="3"/>
        <item x="2"/>
        <item x="4"/>
        <item x="5"/>
        <item x="6"/>
        <item x="8"/>
        <item x="7"/>
        <item x="10"/>
        <item x="9"/>
        <item x="13"/>
        <item x="15"/>
        <item x="16"/>
        <item x="12"/>
        <item x="14"/>
        <item x="11"/>
        <item x="17"/>
        <item x="31"/>
        <item x="19"/>
        <item x="20"/>
        <item x="34"/>
        <item x="18"/>
        <item x="30"/>
        <item x="26"/>
        <item x="21"/>
        <item x="33"/>
        <item x="35"/>
        <item x="29"/>
        <item x="22"/>
        <item x="27"/>
        <item x="32"/>
        <item x="37"/>
        <item x="36"/>
        <item x="28"/>
        <item x="38"/>
        <item x="24"/>
        <item x="41"/>
        <item x="25"/>
        <item x="23"/>
        <item x="42"/>
        <item x="40"/>
        <item x="39"/>
        <item x="43"/>
        <item x="44"/>
        <item x="45"/>
        <item x="224"/>
        <item x="46"/>
        <item x="223"/>
        <item x="414"/>
        <item x="47"/>
        <item x="222"/>
        <item x="221"/>
        <item x="58"/>
        <item x="54"/>
        <item x="225"/>
        <item x="57"/>
        <item x="48"/>
        <item x="61"/>
        <item x="60"/>
        <item x="214"/>
        <item x="55"/>
        <item x="59"/>
        <item x="51"/>
        <item x="56"/>
        <item x="62"/>
        <item x="226"/>
        <item x="227"/>
        <item x="220"/>
        <item x="233"/>
        <item x="53"/>
        <item x="52"/>
        <item x="216"/>
        <item x="228"/>
        <item x="229"/>
        <item x="63"/>
        <item x="49"/>
        <item x="50"/>
        <item x="232"/>
        <item x="230"/>
        <item x="219"/>
        <item x="217"/>
        <item x="261"/>
        <item x="215"/>
        <item x="260"/>
        <item x="231"/>
        <item x="66"/>
        <item x="247"/>
        <item x="218"/>
        <item x="248"/>
        <item x="65"/>
        <item x="64"/>
        <item x="74"/>
        <item x="76"/>
        <item x="255"/>
        <item x="67"/>
        <item x="257"/>
        <item x="75"/>
        <item x="77"/>
        <item x="69"/>
        <item x="72"/>
        <item x="243"/>
        <item x="242"/>
        <item x="68"/>
        <item x="78"/>
        <item x="234"/>
        <item x="256"/>
        <item x="413"/>
        <item x="73"/>
        <item x="100"/>
        <item x="262"/>
        <item x="249"/>
        <item x="70"/>
        <item x="99"/>
        <item x="259"/>
        <item x="258"/>
        <item x="236"/>
        <item x="412"/>
        <item x="71"/>
        <item x="244"/>
        <item x="246"/>
        <item x="235"/>
        <item x="90"/>
        <item x="415"/>
        <item x="213"/>
        <item x="263"/>
        <item x="417"/>
        <item x="89"/>
        <item x="250"/>
        <item x="112"/>
        <item x="627"/>
        <item x="241"/>
        <item x="91"/>
        <item x="245"/>
        <item x="113"/>
        <item x="98"/>
        <item x="86"/>
        <item x="626"/>
        <item x="623"/>
        <item x="239"/>
        <item x="628"/>
        <item x="92"/>
        <item x="264"/>
        <item x="254"/>
        <item x="240"/>
        <item x="111"/>
        <item x="114"/>
        <item x="238"/>
        <item x="418"/>
        <item x="97"/>
        <item x="109"/>
        <item x="79"/>
        <item x="88"/>
        <item x="267"/>
        <item x="101"/>
        <item x="93"/>
        <item x="629"/>
        <item x="425"/>
        <item x="624"/>
        <item x="110"/>
        <item x="669"/>
        <item x="80"/>
        <item x="103"/>
        <item x="194"/>
        <item x="622"/>
        <item x="625"/>
        <item x="268"/>
        <item x="668"/>
        <item x="212"/>
        <item x="237"/>
        <item x="266"/>
        <item x="102"/>
        <item x="251"/>
        <item x="667"/>
        <item x="663"/>
        <item x="87"/>
        <item x="269"/>
        <item x="85"/>
        <item x="424"/>
        <item x="666"/>
        <item x="82"/>
        <item x="416"/>
        <item x="670"/>
        <item x="211"/>
        <item x="81"/>
        <item x="638"/>
        <item x="126"/>
        <item x="631"/>
        <item x="83"/>
        <item x="96"/>
        <item x="664"/>
        <item x="108"/>
        <item x="124"/>
        <item x="662"/>
        <item x="660"/>
        <item x="209"/>
        <item x="621"/>
        <item x="671"/>
        <item x="265"/>
        <item x="661"/>
        <item x="636"/>
        <item x="127"/>
        <item x="84"/>
        <item x="185"/>
        <item x="253"/>
        <item x="193"/>
        <item x="419"/>
        <item x="630"/>
        <item x="125"/>
        <item x="128"/>
        <item x="115"/>
        <item x="117"/>
        <item x="122"/>
        <item x="252"/>
        <item x="632"/>
        <item x="272"/>
        <item x="618"/>
        <item x="208"/>
        <item x="107"/>
        <item x="121"/>
        <item x="123"/>
        <item x="210"/>
        <item x="270"/>
        <item x="118"/>
        <item x="659"/>
        <item x="195"/>
        <item x="134"/>
        <item x="665"/>
        <item x="135"/>
        <item x="619"/>
        <item x="426"/>
        <item x="131"/>
        <item x="639"/>
        <item x="130"/>
        <item x="620"/>
        <item x="658"/>
        <item x="94"/>
        <item x="657"/>
        <item x="634"/>
        <item x="105"/>
        <item x="641"/>
        <item x="655"/>
        <item x="271"/>
        <item x="635"/>
        <item x="656"/>
        <item x="129"/>
        <item x="652"/>
        <item x="119"/>
        <item x="141"/>
        <item x="617"/>
        <item x="139"/>
        <item x="633"/>
        <item x="177"/>
        <item x="142"/>
        <item x="136"/>
        <item x="411"/>
        <item x="132"/>
        <item x="120"/>
        <item x="140"/>
        <item x="206"/>
        <item x="133"/>
        <item x="654"/>
        <item x="640"/>
        <item x="183"/>
        <item x="104"/>
        <item x="592"/>
        <item x="207"/>
        <item x="95"/>
        <item x="116"/>
        <item x="184"/>
        <item x="427"/>
        <item x="137"/>
        <item x="591"/>
        <item x="422"/>
        <item x="423"/>
        <item x="589"/>
        <item x="138"/>
        <item x="642"/>
        <item x="186"/>
        <item x="588"/>
        <item x="651"/>
        <item x="188"/>
        <item x="637"/>
        <item x="585"/>
        <item x="106"/>
        <item x="182"/>
        <item x="273"/>
        <item x="590"/>
        <item x="196"/>
        <item x="650"/>
        <item x="421"/>
        <item x="643"/>
        <item x="189"/>
        <item x="598"/>
        <item x="191"/>
        <item x="197"/>
        <item x="607"/>
        <item x="606"/>
        <item x="190"/>
        <item x="608"/>
        <item x="616"/>
        <item x="586"/>
        <item x="143"/>
        <item x="587"/>
        <item x="653"/>
        <item x="428"/>
        <item x="644"/>
        <item x="674"/>
        <item x="181"/>
        <item x="593"/>
        <item x="192"/>
        <item x="645"/>
        <item x="146"/>
        <item x="599"/>
        <item x="410"/>
        <item x="605"/>
        <item x="430"/>
        <item x="145"/>
        <item x="649"/>
        <item x="612"/>
        <item x="611"/>
        <item x="147"/>
        <item x="609"/>
        <item x="205"/>
        <item x="675"/>
        <item x="187"/>
        <item x="600"/>
        <item x="200"/>
        <item x="178"/>
        <item x="597"/>
        <item x="648"/>
        <item x="594"/>
        <item x="201"/>
        <item x="420"/>
        <item x="176"/>
        <item x="144"/>
        <item x="613"/>
        <item x="610"/>
        <item x="604"/>
        <item x="274"/>
        <item x="646"/>
        <item x="601"/>
        <item x="198"/>
        <item x="204"/>
        <item x="409"/>
        <item x="429"/>
        <item x="614"/>
        <item x="602"/>
        <item x="153"/>
        <item x="676"/>
        <item x="199"/>
        <item x="595"/>
        <item x="179"/>
        <item x="150"/>
        <item x="647"/>
        <item x="180"/>
        <item x="148"/>
        <item x="596"/>
        <item x="615"/>
        <item x="603"/>
        <item x="584"/>
        <item x="149"/>
        <item x="175"/>
        <item x="202"/>
        <item x="677"/>
        <item x="678"/>
        <item x="152"/>
        <item x="673"/>
        <item x="151"/>
        <item x="203"/>
        <item x="672"/>
        <item x="173"/>
        <item x="407"/>
        <item x="408"/>
        <item x="172"/>
        <item x="440"/>
        <item x="171"/>
        <item x="154"/>
        <item x="174"/>
        <item x="169"/>
        <item x="681"/>
        <item x="405"/>
        <item x="275"/>
        <item x="170"/>
        <item x="155"/>
        <item x="159"/>
        <item x="160"/>
        <item x="276"/>
        <item x="163"/>
        <item x="439"/>
        <item x="441"/>
        <item x="679"/>
        <item x="158"/>
        <item x="162"/>
        <item x="161"/>
        <item x="442"/>
        <item x="277"/>
        <item x="446"/>
        <item x="445"/>
        <item x="680"/>
        <item x="406"/>
        <item x="156"/>
        <item x="168"/>
        <item x="443"/>
        <item x="434"/>
        <item x="404"/>
        <item x="157"/>
        <item x="164"/>
        <item x="447"/>
        <item x="431"/>
        <item x="507"/>
        <item x="279"/>
        <item x="581"/>
        <item x="444"/>
        <item x="400"/>
        <item x="438"/>
        <item x="508"/>
        <item x="403"/>
        <item x="448"/>
        <item x="583"/>
        <item x="437"/>
        <item x="167"/>
        <item x="165"/>
        <item x="278"/>
        <item x="582"/>
        <item x="450"/>
        <item x="402"/>
        <item x="501"/>
        <item x="509"/>
        <item x="580"/>
        <item x="401"/>
        <item x="510"/>
        <item x="393"/>
        <item x="511"/>
        <item x="435"/>
        <item x="513"/>
        <item x="552"/>
        <item x="449"/>
        <item x="166"/>
        <item x="500"/>
        <item x="432"/>
        <item x="399"/>
        <item x="433"/>
        <item x="496"/>
        <item x="280"/>
        <item x="579"/>
        <item x="436"/>
        <item x="512"/>
        <item x="481"/>
        <item x="495"/>
        <item x="286"/>
        <item x="548"/>
        <item x="550"/>
        <item x="453"/>
        <item x="394"/>
        <item x="551"/>
        <item x="499"/>
        <item x="398"/>
        <item x="285"/>
        <item x="549"/>
        <item x="553"/>
        <item x="392"/>
        <item x="556"/>
        <item x="515"/>
        <item x="494"/>
        <item x="391"/>
        <item x="482"/>
        <item x="284"/>
        <item x="497"/>
        <item x="557"/>
        <item x="396"/>
        <item x="498"/>
        <item x="397"/>
        <item x="554"/>
        <item x="281"/>
        <item x="486"/>
        <item x="514"/>
        <item x="395"/>
        <item x="484"/>
        <item x="282"/>
        <item x="452"/>
        <item x="558"/>
        <item x="351"/>
        <item x="568"/>
        <item x="559"/>
        <item x="483"/>
        <item x="578"/>
        <item x="289"/>
        <item x="505"/>
        <item x="567"/>
        <item x="485"/>
        <item x="555"/>
        <item x="565"/>
        <item x="451"/>
        <item x="352"/>
        <item x="547"/>
        <item x="487"/>
        <item x="503"/>
        <item x="566"/>
        <item x="288"/>
        <item x="560"/>
        <item x="504"/>
        <item x="287"/>
        <item x="493"/>
        <item x="564"/>
        <item x="563"/>
        <item x="488"/>
        <item x="489"/>
        <item x="502"/>
        <item x="348"/>
        <item x="561"/>
        <item x="545"/>
        <item x="546"/>
        <item x="562"/>
        <item x="290"/>
        <item x="570"/>
        <item x="480"/>
        <item x="544"/>
        <item x="569"/>
        <item x="506"/>
        <item x="543"/>
        <item x="297"/>
        <item x="296"/>
        <item x="577"/>
        <item x="353"/>
        <item x="516"/>
        <item x="298"/>
        <item x="291"/>
        <item x="541"/>
        <item x="349"/>
        <item x="571"/>
        <item x="469"/>
        <item x="295"/>
        <item x="576"/>
        <item x="455"/>
        <item x="454"/>
        <item x="350"/>
        <item x="517"/>
        <item x="294"/>
        <item x="292"/>
        <item x="479"/>
        <item x="369"/>
        <item x="283"/>
        <item x="390"/>
        <item x="478"/>
        <item x="368"/>
        <item x="542"/>
        <item x="575"/>
        <item x="293"/>
        <item x="574"/>
        <item x="379"/>
        <item x="572"/>
        <item x="299"/>
        <item x="470"/>
        <item x="573"/>
        <item x="490"/>
        <item x="367"/>
        <item x="366"/>
        <item x="461"/>
        <item x="463"/>
        <item x="462"/>
        <item x="383"/>
        <item x="364"/>
        <item x="468"/>
        <item x="378"/>
        <item x="476"/>
        <item x="519"/>
        <item x="318"/>
        <item x="520"/>
        <item x="471"/>
        <item x="363"/>
        <item x="539"/>
        <item x="347"/>
        <item x="370"/>
        <item x="540"/>
        <item x="537"/>
        <item x="341"/>
        <item x="477"/>
        <item x="315"/>
        <item x="358"/>
        <item x="316"/>
        <item x="339"/>
        <item x="472"/>
        <item x="355"/>
        <item x="357"/>
        <item x="538"/>
        <item x="464"/>
        <item x="317"/>
        <item x="382"/>
        <item x="465"/>
        <item x="354"/>
        <item x="491"/>
        <item x="518"/>
        <item x="385"/>
        <item x="475"/>
        <item x="492"/>
        <item x="356"/>
        <item x="536"/>
        <item x="389"/>
        <item x="340"/>
        <item x="388"/>
        <item x="473"/>
        <item x="342"/>
        <item x="365"/>
        <item x="314"/>
        <item x="346"/>
        <item x="313"/>
        <item x="466"/>
        <item x="380"/>
        <item x="535"/>
        <item x="474"/>
        <item x="384"/>
        <item x="523"/>
        <item x="460"/>
        <item x="359"/>
        <item x="456"/>
        <item x="386"/>
        <item x="338"/>
        <item x="360"/>
        <item x="533"/>
        <item x="312"/>
        <item x="467"/>
        <item x="345"/>
        <item x="362"/>
        <item x="300"/>
        <item x="457"/>
        <item x="320"/>
        <item x="529"/>
        <item x="522"/>
        <item x="531"/>
        <item x="534"/>
        <item x="458"/>
        <item x="319"/>
        <item x="344"/>
        <item x="530"/>
        <item x="381"/>
        <item x="387"/>
        <item x="521"/>
        <item x="343"/>
        <item x="459"/>
        <item x="374"/>
        <item x="524"/>
        <item x="525"/>
        <item x="371"/>
        <item x="361"/>
        <item x="311"/>
        <item x="532"/>
        <item x="526"/>
        <item x="375"/>
        <item x="377"/>
        <item x="337"/>
        <item x="527"/>
        <item x="528"/>
        <item x="310"/>
        <item x="373"/>
        <item x="372"/>
        <item x="376"/>
        <item x="305"/>
        <item x="309"/>
        <item x="301"/>
        <item x="303"/>
        <item x="304"/>
        <item x="302"/>
        <item x="329"/>
        <item x="330"/>
        <item x="308"/>
        <item x="328"/>
        <item x="332"/>
        <item x="326"/>
        <item x="327"/>
        <item x="333"/>
        <item x="307"/>
        <item x="321"/>
        <item x="331"/>
        <item x="306"/>
        <item x="334"/>
        <item x="336"/>
        <item x="325"/>
        <item x="335"/>
        <item x="324"/>
        <item x="323"/>
        <item x="322"/>
        <item t="default"/>
      </items>
    </pivotField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lose" fld="4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38278-ECCE-47B2-A880-6D2AECB732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3:E16" firstHeaderRow="1" firstDataRow="1" firstDataCol="1"/>
  <pivotFields count="10">
    <pivotField numFmtId="14" showAll="0">
      <items count="8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7"/>
  </rowFields>
  <rowItems count="13">
    <i>
      <x v="11"/>
    </i>
    <i>
      <x v="9"/>
    </i>
    <i>
      <x v="10"/>
    </i>
    <i>
      <x v="12"/>
    </i>
    <i>
      <x v="5"/>
    </i>
    <i>
      <x v="7"/>
    </i>
    <i>
      <x v="8"/>
    </i>
    <i>
      <x v="3"/>
    </i>
    <i>
      <x v="4"/>
    </i>
    <i>
      <x v="6"/>
    </i>
    <i>
      <x v="1"/>
    </i>
    <i>
      <x v="2"/>
    </i>
    <i t="grand">
      <x/>
    </i>
  </rowItems>
  <colItems count="1">
    <i/>
  </colItems>
  <dataFields count="1">
    <dataField name="Sum of Volume" fld="6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D4EE9-B0AD-47A8-91A9-BE7073EFB3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0">
    <pivotField numFmtId="14" showAll="0">
      <items count="8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High" fld="2" baseField="0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99E14C-E91C-4C18-8B27-AE22790D2F12}" name="Table2" displayName="Table2" ref="A1:H829" totalsRowShown="0">
  <autoFilter ref="A1:H829" xr:uid="{4699E14C-E91C-4C18-8B27-AE22790D2F12}"/>
  <tableColumns count="8">
    <tableColumn id="1" xr3:uid="{6FC46EAA-3449-43AD-9D30-B70BDA582A96}" name="Date" dataDxfId="0"/>
    <tableColumn id="2" xr3:uid="{02D50055-44AA-4E8A-BBEE-DB4A06631167}" name="Open"/>
    <tableColumn id="3" xr3:uid="{D0596CDF-E5CB-4B18-A8EA-EB9FB7B336E0}" name="High"/>
    <tableColumn id="4" xr3:uid="{9899A85D-FC84-4DA5-87D6-C867E936507B}" name="Low"/>
    <tableColumn id="5" xr3:uid="{A3629C85-D7AA-46C5-8B51-AE7DF84E926D}" name="Close"/>
    <tableColumn id="6" xr3:uid="{675768CE-0609-4090-B2E9-CCFED5EFA8DF}" name="Adj Close"/>
    <tableColumn id="7" xr3:uid="{ED5FDF37-F00B-4AD3-9176-AC54BED0CA4C}" name="Volume"/>
    <tableColumn id="8" xr3:uid="{F7F7B1C9-2E21-417F-AAF9-529D5E5327B6}" name="Column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DC67-7674-4BB4-913F-5CDC8D632FF5}">
  <dimension ref="A3:L16"/>
  <sheetViews>
    <sheetView topLeftCell="D1" zoomScale="136" workbookViewId="0">
      <selection activeCell="M9" sqref="M9"/>
    </sheetView>
  </sheetViews>
  <sheetFormatPr defaultRowHeight="14.4" x14ac:dyDescent="0.3"/>
  <cols>
    <col min="1" max="1" width="12.44140625" bestFit="1" customWidth="1"/>
    <col min="2" max="2" width="12" bestFit="1" customWidth="1"/>
    <col min="4" max="4" width="12.44140625" bestFit="1" customWidth="1"/>
    <col min="5" max="5" width="13.44140625" bestFit="1" customWidth="1"/>
    <col min="7" max="7" width="12.44140625" bestFit="1" customWidth="1"/>
    <col min="8" max="8" width="12" bestFit="1" customWidth="1"/>
    <col min="10" max="10" width="12.44140625" bestFit="1" customWidth="1"/>
    <col min="11" max="11" width="11.6640625" bestFit="1" customWidth="1"/>
  </cols>
  <sheetData>
    <row r="3" spans="1:12" x14ac:dyDescent="0.3">
      <c r="A3" s="2" t="s">
        <v>8</v>
      </c>
      <c r="B3" t="s">
        <v>14</v>
      </c>
      <c r="D3" s="2" t="s">
        <v>8</v>
      </c>
      <c r="E3" t="s">
        <v>27</v>
      </c>
      <c r="G3" s="2" t="s">
        <v>8</v>
      </c>
      <c r="H3" t="s">
        <v>28</v>
      </c>
      <c r="J3" s="2" t="s">
        <v>8</v>
      </c>
      <c r="K3" t="s">
        <v>29</v>
      </c>
    </row>
    <row r="4" spans="1:12" x14ac:dyDescent="0.3">
      <c r="A4" s="3" t="s">
        <v>10</v>
      </c>
      <c r="B4">
        <v>1899.1048479999999</v>
      </c>
      <c r="D4" s="3" t="s">
        <v>25</v>
      </c>
      <c r="E4">
        <v>298169517</v>
      </c>
      <c r="G4" s="3" t="s">
        <v>15</v>
      </c>
      <c r="H4">
        <v>3844.0303980000008</v>
      </c>
      <c r="J4" s="14" t="s">
        <v>26</v>
      </c>
      <c r="K4" s="13">
        <v>5017.9732649999996</v>
      </c>
    </row>
    <row r="5" spans="1:12" x14ac:dyDescent="0.3">
      <c r="A5" s="3" t="s">
        <v>11</v>
      </c>
      <c r="B5">
        <v>14678.747925000007</v>
      </c>
      <c r="D5" s="3" t="s">
        <v>23</v>
      </c>
      <c r="E5">
        <v>264093376</v>
      </c>
      <c r="G5" s="3" t="s">
        <v>16</v>
      </c>
      <c r="H5">
        <v>3620.2249829999973</v>
      </c>
      <c r="J5" s="14" t="s">
        <v>21</v>
      </c>
      <c r="K5" s="13">
        <v>4772.1774450000012</v>
      </c>
    </row>
    <row r="6" spans="1:12" x14ac:dyDescent="0.3">
      <c r="A6" s="3" t="s">
        <v>12</v>
      </c>
      <c r="B6">
        <v>17928.692760999995</v>
      </c>
      <c r="D6" s="3" t="s">
        <v>24</v>
      </c>
      <c r="E6">
        <v>260309424</v>
      </c>
      <c r="G6" s="3" t="s">
        <v>17</v>
      </c>
      <c r="H6">
        <v>4265.4406609999996</v>
      </c>
      <c r="J6" s="14" t="s">
        <v>18</v>
      </c>
      <c r="K6" s="13">
        <v>4562.78604</v>
      </c>
      <c r="L6" s="15"/>
    </row>
    <row r="7" spans="1:12" x14ac:dyDescent="0.3">
      <c r="A7" s="3" t="s">
        <v>13</v>
      </c>
      <c r="B7">
        <v>17515.991251999993</v>
      </c>
      <c r="D7" s="3" t="s">
        <v>26</v>
      </c>
      <c r="E7">
        <v>248453446</v>
      </c>
      <c r="G7" s="3" t="s">
        <v>18</v>
      </c>
      <c r="H7">
        <v>4563.5244099999991</v>
      </c>
      <c r="J7" s="14" t="s">
        <v>19</v>
      </c>
      <c r="K7" s="13">
        <v>4503.5826830000015</v>
      </c>
    </row>
    <row r="8" spans="1:12" x14ac:dyDescent="0.3">
      <c r="A8" s="3" t="s">
        <v>9</v>
      </c>
      <c r="B8">
        <v>52022.536785999997</v>
      </c>
      <c r="D8" s="3" t="s">
        <v>19</v>
      </c>
      <c r="E8">
        <v>211567147</v>
      </c>
      <c r="G8" s="3" t="s">
        <v>19</v>
      </c>
      <c r="H8">
        <v>4505.8562280000015</v>
      </c>
      <c r="J8" s="14" t="s">
        <v>25</v>
      </c>
      <c r="K8" s="13">
        <v>4411.4057569999986</v>
      </c>
    </row>
    <row r="9" spans="1:12" x14ac:dyDescent="0.3">
      <c r="D9" s="3" t="s">
        <v>21</v>
      </c>
      <c r="E9">
        <v>203409114</v>
      </c>
      <c r="G9" s="3" t="s">
        <v>20</v>
      </c>
      <c r="H9">
        <v>4398.7303399999992</v>
      </c>
      <c r="J9" s="14" t="s">
        <v>20</v>
      </c>
      <c r="K9" s="13">
        <v>4404.7391899999984</v>
      </c>
    </row>
    <row r="10" spans="1:12" x14ac:dyDescent="0.3">
      <c r="D10" s="3" t="s">
        <v>22</v>
      </c>
      <c r="E10">
        <v>184266200</v>
      </c>
      <c r="G10" s="3" t="s">
        <v>21</v>
      </c>
      <c r="H10">
        <v>4764.4212479999997</v>
      </c>
      <c r="J10" s="14" t="s">
        <v>17</v>
      </c>
      <c r="K10" s="13">
        <v>4277.5199139999986</v>
      </c>
    </row>
    <row r="11" spans="1:12" x14ac:dyDescent="0.3">
      <c r="D11" s="3" t="s">
        <v>17</v>
      </c>
      <c r="E11">
        <v>176675438</v>
      </c>
      <c r="G11" s="3" t="s">
        <v>22</v>
      </c>
      <c r="H11">
        <v>4149.3674229999997</v>
      </c>
      <c r="J11" s="14" t="s">
        <v>22</v>
      </c>
      <c r="K11" s="13">
        <v>4168.611601999999</v>
      </c>
    </row>
    <row r="12" spans="1:12" x14ac:dyDescent="0.3">
      <c r="D12" s="3" t="s">
        <v>18</v>
      </c>
      <c r="E12">
        <v>171548442</v>
      </c>
      <c r="G12" s="3" t="s">
        <v>23</v>
      </c>
      <c r="H12">
        <v>3984.5651750000002</v>
      </c>
      <c r="J12" s="14" t="s">
        <v>23</v>
      </c>
      <c r="K12" s="13">
        <v>3998.4616919999999</v>
      </c>
    </row>
    <row r="13" spans="1:12" x14ac:dyDescent="0.3">
      <c r="D13" s="3" t="s">
        <v>20</v>
      </c>
      <c r="E13">
        <v>163889751</v>
      </c>
      <c r="G13" s="3" t="s">
        <v>24</v>
      </c>
      <c r="H13">
        <v>3752.5818260000005</v>
      </c>
      <c r="J13" s="14" t="s">
        <v>15</v>
      </c>
      <c r="K13" s="13">
        <v>3839.2466789999985</v>
      </c>
    </row>
    <row r="14" spans="1:12" x14ac:dyDescent="0.3">
      <c r="D14" s="3" t="s">
        <v>15</v>
      </c>
      <c r="E14">
        <v>151450688</v>
      </c>
      <c r="G14" s="3" t="s">
        <v>25</v>
      </c>
      <c r="H14">
        <v>4423.1266040000019</v>
      </c>
      <c r="J14" s="14" t="s">
        <v>24</v>
      </c>
      <c r="K14" s="13">
        <v>3770.948742</v>
      </c>
    </row>
    <row r="15" spans="1:12" x14ac:dyDescent="0.3">
      <c r="D15" s="3" t="s">
        <v>16</v>
      </c>
      <c r="E15">
        <v>118465568</v>
      </c>
      <c r="G15" s="3" t="s">
        <v>26</v>
      </c>
      <c r="H15">
        <v>5024.1565490000003</v>
      </c>
      <c r="J15" s="14" t="s">
        <v>16</v>
      </c>
      <c r="K15" s="13">
        <v>3619.1267249999983</v>
      </c>
    </row>
    <row r="16" spans="1:12" x14ac:dyDescent="0.3">
      <c r="D16" s="3" t="s">
        <v>9</v>
      </c>
      <c r="E16">
        <v>2452298111</v>
      </c>
      <c r="G16" s="3" t="s">
        <v>9</v>
      </c>
      <c r="H16">
        <v>51296.025845000004</v>
      </c>
      <c r="J16" s="3" t="s">
        <v>9</v>
      </c>
      <c r="K16" s="13">
        <v>51346.579733999992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D19A-0825-4483-BAB2-0C7EC510E60A}">
  <dimension ref="C4:AH26"/>
  <sheetViews>
    <sheetView showGridLines="0" showRowColHeaders="0" tabSelected="1" zoomScale="45" workbookViewId="0"/>
  </sheetViews>
  <sheetFormatPr defaultRowHeight="14.4" x14ac:dyDescent="0.3"/>
  <sheetData>
    <row r="4" spans="3:22" x14ac:dyDescent="0.3">
      <c r="N4" s="7"/>
    </row>
    <row r="8" spans="3:22" x14ac:dyDescent="0.3">
      <c r="C8" s="16">
        <f>GETPIVOTDATA("High",Sheet2!$A$3)</f>
        <v>52022.536785999997</v>
      </c>
      <c r="D8" s="16"/>
      <c r="E8" s="16"/>
      <c r="F8" s="16"/>
      <c r="K8" s="16">
        <f>GETPIVOTDATA("Volume",Sheet2!$D$3,"Months (Date)",11)</f>
        <v>298169517</v>
      </c>
      <c r="L8" s="16"/>
      <c r="M8" s="16"/>
      <c r="N8" s="16"/>
      <c r="S8" s="16">
        <f>GETPIVOTDATA("Open",Sheet2!$J$3,"Months (Date)",12)</f>
        <v>5017.9732649999996</v>
      </c>
      <c r="T8" s="16"/>
      <c r="U8" s="16"/>
      <c r="V8" s="16"/>
    </row>
    <row r="9" spans="3:22" x14ac:dyDescent="0.3">
      <c r="C9" s="16"/>
      <c r="D9" s="16"/>
      <c r="E9" s="16"/>
      <c r="F9" s="16"/>
      <c r="K9" s="16"/>
      <c r="L9" s="16"/>
      <c r="M9" s="16"/>
      <c r="N9" s="16"/>
      <c r="S9" s="16"/>
      <c r="T9" s="16"/>
      <c r="U9" s="16"/>
      <c r="V9" s="16"/>
    </row>
    <row r="10" spans="3:22" ht="14.4" customHeight="1" x14ac:dyDescent="0.3">
      <c r="C10" s="16"/>
      <c r="D10" s="16"/>
      <c r="E10" s="16"/>
      <c r="F10" s="16"/>
      <c r="K10" s="16"/>
      <c r="L10" s="16"/>
      <c r="M10" s="16"/>
      <c r="N10" s="16"/>
      <c r="S10" s="16"/>
      <c r="T10" s="16"/>
      <c r="U10" s="16"/>
      <c r="V10" s="16"/>
    </row>
    <row r="11" spans="3:22" ht="14.4" customHeight="1" x14ac:dyDescent="0.3">
      <c r="C11" s="16"/>
      <c r="D11" s="16"/>
      <c r="E11" s="16"/>
      <c r="F11" s="16"/>
      <c r="K11" s="16"/>
      <c r="L11" s="16"/>
      <c r="M11" s="16"/>
      <c r="N11" s="16"/>
      <c r="S11" s="16"/>
      <c r="T11" s="16"/>
      <c r="U11" s="16"/>
      <c r="V11" s="16"/>
    </row>
    <row r="12" spans="3:22" x14ac:dyDescent="0.3">
      <c r="S12" t="s">
        <v>34</v>
      </c>
    </row>
    <row r="26" spans="34:34" x14ac:dyDescent="0.3">
      <c r="AH26" t="s">
        <v>35</v>
      </c>
    </row>
  </sheetData>
  <mergeCells count="3">
    <mergeCell ref="C8:F11"/>
    <mergeCell ref="K8:N11"/>
    <mergeCell ref="S8:V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97BF-3DD8-46E1-B12A-8764997E10E0}">
  <dimension ref="A1:P829"/>
  <sheetViews>
    <sheetView workbookViewId="0">
      <selection activeCell="I21" sqref="I21"/>
    </sheetView>
  </sheetViews>
  <sheetFormatPr defaultRowHeight="14.4" x14ac:dyDescent="0.3"/>
  <cols>
    <col min="1" max="1" width="10.33203125" bestFit="1" customWidth="1"/>
    <col min="2" max="5" width="10" bestFit="1" customWidth="1"/>
    <col min="6" max="6" width="11" bestFit="1" customWidth="1"/>
    <col min="7" max="7" width="9.5546875" bestFit="1" customWidth="1"/>
    <col min="9" max="9" width="10.33203125" bestFit="1" customWidth="1"/>
    <col min="12" max="12" width="10.33203125" bestFit="1" customWidth="1"/>
  </cols>
  <sheetData>
    <row r="1" spans="1:1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8" t="s">
        <v>31</v>
      </c>
      <c r="J1" s="8" t="s">
        <v>30</v>
      </c>
      <c r="L1" s="10"/>
      <c r="M1" s="10" t="s">
        <v>32</v>
      </c>
      <c r="O1" s="8" t="s">
        <v>33</v>
      </c>
      <c r="P1" s="4" t="s">
        <v>7</v>
      </c>
    </row>
    <row r="2" spans="1:16" ht="15" thickTop="1" x14ac:dyDescent="0.3">
      <c r="A2" s="1">
        <v>35368</v>
      </c>
      <c r="B2">
        <v>37.848666999999999</v>
      </c>
      <c r="C2">
        <v>37.878436999999998</v>
      </c>
      <c r="D2">
        <v>37.521210000000004</v>
      </c>
      <c r="E2">
        <v>37.550975999999999</v>
      </c>
      <c r="F2">
        <v>9.8872610000000005</v>
      </c>
      <c r="G2">
        <v>1640521</v>
      </c>
      <c r="I2" s="9">
        <v>35387</v>
      </c>
      <c r="J2" s="8">
        <f>VLOOKUP(I2,Table2[]:Table2[Volume],5,FALSE)</f>
        <v>41.059379999999997</v>
      </c>
      <c r="L2" s="11">
        <v>35368</v>
      </c>
      <c r="M2" s="10">
        <f>INDEX(Table2[Open],MATCH(L2,Table2[Date],0))</f>
        <v>37.848666999999999</v>
      </c>
      <c r="O2" s="8" t="str">
        <f>IF(E2&gt;B2,"Profit",IF(E2&lt;B2,"Loss","No Change"))</f>
        <v>Loss</v>
      </c>
      <c r="P2" s="5" t="str">
        <f>IF(Table2[[#This Row],[Close]]&gt;Table2[[#This Row],[Open]],"profite","loss")</f>
        <v>loss</v>
      </c>
    </row>
    <row r="3" spans="1:16" x14ac:dyDescent="0.3">
      <c r="A3" s="1">
        <v>35369</v>
      </c>
      <c r="B3">
        <v>37.635983000000003</v>
      </c>
      <c r="C3">
        <v>38.057022000000003</v>
      </c>
      <c r="D3">
        <v>37.635983000000003</v>
      </c>
      <c r="E3">
        <v>38.052779999999998</v>
      </c>
      <c r="F3">
        <v>10.019385</v>
      </c>
      <c r="G3">
        <v>1908031</v>
      </c>
      <c r="O3" s="8" t="str">
        <f t="shared" ref="O3:O66" si="0">IF(E3&gt;B3,"Profit",IF(E3&lt;B3,"Loss","No Change"))</f>
        <v>Profit</v>
      </c>
      <c r="P3" s="6" t="str">
        <f>IF(Table2[[#This Row],[Close]]&gt;Table2[[#This Row],[Open]],"profite","loss")</f>
        <v>profite</v>
      </c>
    </row>
    <row r="4" spans="1:16" x14ac:dyDescent="0.3">
      <c r="A4" s="1">
        <v>35370</v>
      </c>
      <c r="B4">
        <v>38.273941000000001</v>
      </c>
      <c r="C4">
        <v>38.614123999999997</v>
      </c>
      <c r="D4">
        <v>38.082554000000002</v>
      </c>
      <c r="E4">
        <v>38.231346000000002</v>
      </c>
      <c r="F4">
        <v>10.066402</v>
      </c>
      <c r="G4">
        <v>2423211</v>
      </c>
      <c r="O4" s="8" t="str">
        <f t="shared" si="0"/>
        <v>Loss</v>
      </c>
      <c r="P4" s="5" t="str">
        <f>IF(Table2[[#This Row],[Close]]&gt;Table2[[#This Row],[Open]],"profite","loss")</f>
        <v>loss</v>
      </c>
    </row>
    <row r="5" spans="1:16" x14ac:dyDescent="0.3">
      <c r="A5" s="1">
        <v>35373</v>
      </c>
      <c r="B5">
        <v>38.273941000000001</v>
      </c>
      <c r="C5">
        <v>38.609881999999999</v>
      </c>
      <c r="D5">
        <v>38.273941000000001</v>
      </c>
      <c r="E5">
        <v>38.529037000000002</v>
      </c>
      <c r="F5">
        <v>10.144786</v>
      </c>
      <c r="G5">
        <v>1284644</v>
      </c>
      <c r="O5" s="8" t="str">
        <f t="shared" si="0"/>
        <v>Profit</v>
      </c>
      <c r="P5" s="6" t="str">
        <f>IF(Table2[[#This Row],[Close]]&gt;Table2[[#This Row],[Open]],"profite","loss")</f>
        <v>profite</v>
      </c>
    </row>
    <row r="6" spans="1:16" x14ac:dyDescent="0.3">
      <c r="A6" s="1">
        <v>35374</v>
      </c>
      <c r="B6">
        <v>38.694889000000003</v>
      </c>
      <c r="C6">
        <v>39.251990999999997</v>
      </c>
      <c r="D6">
        <v>38.507828000000003</v>
      </c>
      <c r="E6">
        <v>39.251990999999997</v>
      </c>
      <c r="F6">
        <v>10.335141</v>
      </c>
      <c r="G6">
        <v>2105206</v>
      </c>
      <c r="O6" s="8" t="str">
        <f t="shared" si="0"/>
        <v>Profit</v>
      </c>
      <c r="P6" s="5" t="str">
        <f>IF(Table2[[#This Row],[Close]]&gt;Table2[[#This Row],[Open]],"profite","loss")</f>
        <v>profite</v>
      </c>
    </row>
    <row r="7" spans="1:16" x14ac:dyDescent="0.3">
      <c r="A7" s="1">
        <v>35375</v>
      </c>
      <c r="B7">
        <v>39.464661</v>
      </c>
      <c r="C7">
        <v>39.855922999999997</v>
      </c>
      <c r="D7">
        <v>39.337069999999997</v>
      </c>
      <c r="E7">
        <v>39.851680999999999</v>
      </c>
      <c r="F7">
        <v>10.493040000000001</v>
      </c>
      <c r="G7">
        <v>2973859</v>
      </c>
      <c r="O7" s="8" t="str">
        <f t="shared" si="0"/>
        <v>Profit</v>
      </c>
      <c r="P7" s="6" t="str">
        <f>IF(Table2[[#This Row],[Close]]&gt;Table2[[#This Row],[Open]],"profite","loss")</f>
        <v>profite</v>
      </c>
    </row>
    <row r="8" spans="1:16" x14ac:dyDescent="0.3">
      <c r="A8" s="1">
        <v>35376</v>
      </c>
      <c r="B8">
        <v>39.826149000000001</v>
      </c>
      <c r="C8">
        <v>39.889941999999998</v>
      </c>
      <c r="D8">
        <v>39.141444999999997</v>
      </c>
      <c r="E8">
        <v>39.634762000000002</v>
      </c>
      <c r="F8">
        <v>10.435926</v>
      </c>
      <c r="G8">
        <v>2894508</v>
      </c>
      <c r="O8" s="8" t="str">
        <f t="shared" si="0"/>
        <v>Loss</v>
      </c>
      <c r="P8" s="5" t="str">
        <f>IF(Table2[[#This Row],[Close]]&gt;Table2[[#This Row],[Open]],"profite","loss")</f>
        <v>loss</v>
      </c>
    </row>
    <row r="9" spans="1:16" x14ac:dyDescent="0.3">
      <c r="A9" s="1">
        <v>35377</v>
      </c>
      <c r="B9">
        <v>39.877132000000003</v>
      </c>
      <c r="C9">
        <v>40.060035999999997</v>
      </c>
      <c r="D9">
        <v>39.783645999999997</v>
      </c>
      <c r="E9">
        <v>39.783645999999997</v>
      </c>
      <c r="F9">
        <v>10.475127000000001</v>
      </c>
      <c r="G9">
        <v>2001809</v>
      </c>
      <c r="O9" s="8" t="str">
        <f t="shared" si="0"/>
        <v>Loss</v>
      </c>
      <c r="P9" s="6" t="str">
        <f>IF(Table2[[#This Row],[Close]]&gt;Table2[[#This Row],[Open]],"profite","loss")</f>
        <v>loss</v>
      </c>
    </row>
    <row r="10" spans="1:16" x14ac:dyDescent="0.3">
      <c r="A10" s="1">
        <v>35380</v>
      </c>
      <c r="B10">
        <v>39.762352</v>
      </c>
      <c r="C10">
        <v>39.974949000000002</v>
      </c>
      <c r="D10">
        <v>39.741058000000002</v>
      </c>
      <c r="E10">
        <v>39.962223000000002</v>
      </c>
      <c r="F10">
        <v>10.522145999999999</v>
      </c>
      <c r="G10">
        <v>1020742</v>
      </c>
      <c r="O10" s="8" t="str">
        <f t="shared" si="0"/>
        <v>Profit</v>
      </c>
      <c r="P10" s="5" t="str">
        <f>IF(Table2[[#This Row],[Close]]&gt;Table2[[#This Row],[Open]],"profite","loss")</f>
        <v>profite</v>
      </c>
    </row>
    <row r="11" spans="1:16" x14ac:dyDescent="0.3">
      <c r="A11" s="1">
        <v>35381</v>
      </c>
      <c r="B11">
        <v>39.911144</v>
      </c>
      <c r="C11">
        <v>40.880802000000003</v>
      </c>
      <c r="D11">
        <v>39.779311999999997</v>
      </c>
      <c r="E11">
        <v>40.868076000000002</v>
      </c>
      <c r="F11">
        <v>10.76066</v>
      </c>
      <c r="G11">
        <v>2786903</v>
      </c>
      <c r="O11" s="8" t="str">
        <f t="shared" si="0"/>
        <v>Profit</v>
      </c>
      <c r="P11" s="6" t="str">
        <f>IF(Table2[[#This Row],[Close]]&gt;Table2[[#This Row],[Open]],"profite","loss")</f>
        <v>profite</v>
      </c>
    </row>
    <row r="12" spans="1:16" x14ac:dyDescent="0.3">
      <c r="A12" s="1">
        <v>35382</v>
      </c>
      <c r="B12">
        <v>40.868076000000002</v>
      </c>
      <c r="C12">
        <v>40.868076000000002</v>
      </c>
      <c r="D12">
        <v>40.868076000000002</v>
      </c>
      <c r="E12">
        <v>40.868076000000002</v>
      </c>
      <c r="F12">
        <v>10.76066</v>
      </c>
      <c r="G12">
        <v>0</v>
      </c>
      <c r="O12" s="8" t="str">
        <f t="shared" si="0"/>
        <v>No Change</v>
      </c>
      <c r="P12" s="5" t="str">
        <f>IF(Table2[[#This Row],[Close]]&gt;Table2[[#This Row],[Open]],"profite","loss")</f>
        <v>loss</v>
      </c>
    </row>
    <row r="13" spans="1:16" x14ac:dyDescent="0.3">
      <c r="A13" s="1">
        <v>35383</v>
      </c>
      <c r="B13">
        <v>40.868076000000002</v>
      </c>
      <c r="C13">
        <v>40.868076000000002</v>
      </c>
      <c r="D13">
        <v>40.868076000000002</v>
      </c>
      <c r="E13">
        <v>40.868076000000002</v>
      </c>
      <c r="F13">
        <v>10.76066</v>
      </c>
      <c r="G13">
        <v>0</v>
      </c>
      <c r="O13" s="8" t="str">
        <f t="shared" si="0"/>
        <v>No Change</v>
      </c>
      <c r="P13" s="6" t="str">
        <f>IF(Table2[[#This Row],[Close]]&gt;Table2[[#This Row],[Open]],"profite","loss")</f>
        <v>loss</v>
      </c>
    </row>
    <row r="14" spans="1:16" x14ac:dyDescent="0.3">
      <c r="A14" s="1">
        <v>35384</v>
      </c>
      <c r="B14">
        <v>41.676037000000001</v>
      </c>
      <c r="C14">
        <v>41.714291000000003</v>
      </c>
      <c r="D14">
        <v>40.995586000000003</v>
      </c>
      <c r="E14">
        <v>41.518669000000003</v>
      </c>
      <c r="F14">
        <v>10.931963</v>
      </c>
      <c r="G14">
        <v>1848517</v>
      </c>
      <c r="O14" s="8" t="str">
        <f t="shared" si="0"/>
        <v>Loss</v>
      </c>
      <c r="P14" s="5" t="str">
        <f>IF(Table2[[#This Row],[Close]]&gt;Table2[[#This Row],[Open]],"profite","loss")</f>
        <v>loss</v>
      </c>
    </row>
    <row r="15" spans="1:16" x14ac:dyDescent="0.3">
      <c r="A15" s="1">
        <v>35387</v>
      </c>
      <c r="B15">
        <v>41.548447000000003</v>
      </c>
      <c r="C15">
        <v>41.569740000000003</v>
      </c>
      <c r="D15">
        <v>40.953082999999999</v>
      </c>
      <c r="E15">
        <v>41.059379999999997</v>
      </c>
      <c r="F15">
        <v>10.811033</v>
      </c>
      <c r="G15">
        <v>1451161</v>
      </c>
      <c r="O15" s="8" t="str">
        <f t="shared" si="0"/>
        <v>Loss</v>
      </c>
      <c r="P15" s="6" t="str">
        <f>IF(Table2[[#This Row],[Close]]&gt;Table2[[#This Row],[Open]],"profite","loss")</f>
        <v>loss</v>
      </c>
    </row>
    <row r="16" spans="1:16" x14ac:dyDescent="0.3">
      <c r="A16" s="1">
        <v>35388</v>
      </c>
      <c r="B16">
        <v>41.038162</v>
      </c>
      <c r="C16">
        <v>41.331612</v>
      </c>
      <c r="D16">
        <v>40.974376999999997</v>
      </c>
      <c r="E16">
        <v>41.31456</v>
      </c>
      <c r="F16">
        <v>10.878220000000001</v>
      </c>
      <c r="G16">
        <v>741210</v>
      </c>
      <c r="O16" s="8" t="str">
        <f t="shared" si="0"/>
        <v>Profit</v>
      </c>
      <c r="P16" s="5" t="str">
        <f>IF(Table2[[#This Row],[Close]]&gt;Table2[[#This Row],[Open]],"profite","loss")</f>
        <v>profite</v>
      </c>
    </row>
    <row r="17" spans="1:16" x14ac:dyDescent="0.3">
      <c r="A17" s="1">
        <v>35389</v>
      </c>
      <c r="B17">
        <v>41.378345000000003</v>
      </c>
      <c r="C17">
        <v>41.676037000000001</v>
      </c>
      <c r="D17">
        <v>40.872318</v>
      </c>
      <c r="E17">
        <v>41.016869</v>
      </c>
      <c r="F17">
        <v>10.799837</v>
      </c>
      <c r="G17">
        <v>1249177</v>
      </c>
      <c r="O17" s="8" t="str">
        <f t="shared" si="0"/>
        <v>Loss</v>
      </c>
      <c r="P17" s="6" t="str">
        <f>IF(Table2[[#This Row],[Close]]&gt;Table2[[#This Row],[Open]],"profite","loss")</f>
        <v>loss</v>
      </c>
    </row>
    <row r="18" spans="1:16" x14ac:dyDescent="0.3">
      <c r="A18" s="1">
        <v>35390</v>
      </c>
      <c r="B18">
        <v>40.974376999999997</v>
      </c>
      <c r="C18">
        <v>41.420856000000001</v>
      </c>
      <c r="D18">
        <v>40.974376999999997</v>
      </c>
      <c r="E18">
        <v>41.169994000000003</v>
      </c>
      <c r="F18">
        <v>10.840152</v>
      </c>
      <c r="G18">
        <v>1651342</v>
      </c>
      <c r="O18" s="8" t="str">
        <f t="shared" si="0"/>
        <v>Profit</v>
      </c>
      <c r="P18" s="5" t="str">
        <f>IF(Table2[[#This Row],[Close]]&gt;Table2[[#This Row],[Open]],"profite","loss")</f>
        <v>profite</v>
      </c>
    </row>
    <row r="19" spans="1:16" x14ac:dyDescent="0.3">
      <c r="A19" s="1">
        <v>35391</v>
      </c>
      <c r="B19">
        <v>41.250754999999998</v>
      </c>
      <c r="C19">
        <v>41.505943000000002</v>
      </c>
      <c r="D19">
        <v>41.038162</v>
      </c>
      <c r="E19">
        <v>41.420856000000001</v>
      </c>
      <c r="F19">
        <v>10.906207999999999</v>
      </c>
      <c r="G19">
        <v>1180045</v>
      </c>
      <c r="O19" s="8" t="str">
        <f t="shared" si="0"/>
        <v>Profit</v>
      </c>
      <c r="P19" s="6" t="str">
        <f>IF(Table2[[#This Row],[Close]]&gt;Table2[[#This Row],[Open]],"profite","loss")</f>
        <v>profite</v>
      </c>
    </row>
    <row r="20" spans="1:16" x14ac:dyDescent="0.3">
      <c r="A20" s="1">
        <v>35394</v>
      </c>
      <c r="B20">
        <v>41.633533</v>
      </c>
      <c r="C20">
        <v>42.233142999999998</v>
      </c>
      <c r="D20">
        <v>41.612243999999997</v>
      </c>
      <c r="E20">
        <v>42.207607000000003</v>
      </c>
      <c r="F20">
        <v>11.113360999999999</v>
      </c>
      <c r="G20">
        <v>1502860</v>
      </c>
      <c r="O20" s="8" t="str">
        <f t="shared" si="0"/>
        <v>Profit</v>
      </c>
      <c r="P20" s="5" t="str">
        <f>IF(Table2[[#This Row],[Close]]&gt;Table2[[#This Row],[Open]],"profite","loss")</f>
        <v>profite</v>
      </c>
    </row>
    <row r="21" spans="1:16" x14ac:dyDescent="0.3">
      <c r="A21" s="1">
        <v>35395</v>
      </c>
      <c r="B21">
        <v>42.356490999999998</v>
      </c>
      <c r="C21">
        <v>42.845551</v>
      </c>
      <c r="D21">
        <v>42.356490999999998</v>
      </c>
      <c r="E21">
        <v>42.420284000000002</v>
      </c>
      <c r="F21">
        <v>11.169361</v>
      </c>
      <c r="G21">
        <v>1883384</v>
      </c>
      <c r="O21" s="8" t="str">
        <f t="shared" si="0"/>
        <v>Profit</v>
      </c>
      <c r="P21" s="6" t="str">
        <f>IF(Table2[[#This Row],[Close]]&gt;Table2[[#This Row],[Open]],"profite","loss")</f>
        <v>profite</v>
      </c>
    </row>
    <row r="22" spans="1:16" x14ac:dyDescent="0.3">
      <c r="A22" s="1">
        <v>35396</v>
      </c>
      <c r="B22">
        <v>42.356490999999998</v>
      </c>
      <c r="C22">
        <v>42.356490999999998</v>
      </c>
      <c r="D22">
        <v>41.795143000000003</v>
      </c>
      <c r="E22">
        <v>41.93121</v>
      </c>
      <c r="F22">
        <v>11.040585999999999</v>
      </c>
      <c r="G22">
        <v>1188461</v>
      </c>
      <c r="O22" s="8" t="str">
        <f t="shared" si="0"/>
        <v>Loss</v>
      </c>
      <c r="P22" s="5" t="str">
        <f>IF(Table2[[#This Row],[Close]]&gt;Table2[[#This Row],[Open]],"profite","loss")</f>
        <v>loss</v>
      </c>
    </row>
    <row r="23" spans="1:16" x14ac:dyDescent="0.3">
      <c r="A23" s="1">
        <v>35397</v>
      </c>
      <c r="B23">
        <v>42.058799999999998</v>
      </c>
      <c r="C23">
        <v>42.59037</v>
      </c>
      <c r="D23">
        <v>41.892955999999998</v>
      </c>
      <c r="E23">
        <v>42.462788000000003</v>
      </c>
      <c r="F23">
        <v>11.180552</v>
      </c>
      <c r="G23">
        <v>974454</v>
      </c>
      <c r="O23" s="8" t="str">
        <f t="shared" si="0"/>
        <v>Profit</v>
      </c>
      <c r="P23" s="6" t="str">
        <f>IF(Table2[[#This Row],[Close]]&gt;Table2[[#This Row],[Open]],"profite","loss")</f>
        <v>profite</v>
      </c>
    </row>
    <row r="24" spans="1:16" x14ac:dyDescent="0.3">
      <c r="A24" s="1">
        <v>35398</v>
      </c>
      <c r="B24">
        <v>42.526581</v>
      </c>
      <c r="C24">
        <v>43.036850000000001</v>
      </c>
      <c r="D24">
        <v>42.420284000000002</v>
      </c>
      <c r="E24">
        <v>42.866768</v>
      </c>
      <c r="F24">
        <v>11.286921</v>
      </c>
      <c r="G24">
        <v>1199282</v>
      </c>
      <c r="O24" s="8" t="str">
        <f t="shared" si="0"/>
        <v>Profit</v>
      </c>
      <c r="P24" s="5" t="str">
        <f>IF(Table2[[#This Row],[Close]]&gt;Table2[[#This Row],[Open]],"profite","loss")</f>
        <v>profite</v>
      </c>
    </row>
    <row r="25" spans="1:16" x14ac:dyDescent="0.3">
      <c r="A25" s="1">
        <v>35401</v>
      </c>
      <c r="B25">
        <v>42.739178000000003</v>
      </c>
      <c r="C25">
        <v>43.462131999999997</v>
      </c>
      <c r="D25">
        <v>42.654170999999998</v>
      </c>
      <c r="E25">
        <v>43.249538000000001</v>
      </c>
      <c r="F25">
        <v>11.387705</v>
      </c>
      <c r="G25">
        <v>1104301</v>
      </c>
      <c r="O25" s="8" t="str">
        <f t="shared" si="0"/>
        <v>Profit</v>
      </c>
      <c r="P25" s="6" t="str">
        <f>IF(Table2[[#This Row],[Close]]&gt;Table2[[#This Row],[Open]],"profite","loss")</f>
        <v>profite</v>
      </c>
    </row>
    <row r="26" spans="1:16" x14ac:dyDescent="0.3">
      <c r="A26" s="1">
        <v>35402</v>
      </c>
      <c r="B26">
        <v>43.844893999999996</v>
      </c>
      <c r="C26">
        <v>44.844237999999997</v>
      </c>
      <c r="D26">
        <v>43.802399000000001</v>
      </c>
      <c r="E26">
        <v>44.780453000000001</v>
      </c>
      <c r="F26">
        <v>11.790797</v>
      </c>
      <c r="G26">
        <v>2090177</v>
      </c>
      <c r="O26" s="8" t="str">
        <f t="shared" si="0"/>
        <v>Profit</v>
      </c>
      <c r="P26" s="5" t="str">
        <f>IF(Table2[[#This Row],[Close]]&gt;Table2[[#This Row],[Open]],"profite","loss")</f>
        <v>profite</v>
      </c>
    </row>
    <row r="27" spans="1:16" x14ac:dyDescent="0.3">
      <c r="A27" s="1">
        <v>35403</v>
      </c>
      <c r="B27">
        <v>44.397754999999997</v>
      </c>
      <c r="C27">
        <v>44.546562000000002</v>
      </c>
      <c r="D27">
        <v>43.908695000000002</v>
      </c>
      <c r="E27">
        <v>44.312674999999999</v>
      </c>
      <c r="F27">
        <v>11.667631</v>
      </c>
      <c r="G27">
        <v>1395255</v>
      </c>
      <c r="O27" s="8" t="str">
        <f t="shared" si="0"/>
        <v>Loss</v>
      </c>
      <c r="P27" s="6" t="str">
        <f>IF(Table2[[#This Row],[Close]]&gt;Table2[[#This Row],[Open]],"profite","loss")</f>
        <v>loss</v>
      </c>
    </row>
    <row r="28" spans="1:16" x14ac:dyDescent="0.3">
      <c r="A28" s="1">
        <v>35404</v>
      </c>
      <c r="B28">
        <v>44.270164000000001</v>
      </c>
      <c r="C28">
        <v>44.716647999999999</v>
      </c>
      <c r="D28">
        <v>43.079445</v>
      </c>
      <c r="E28">
        <v>43.611015000000002</v>
      </c>
      <c r="F28">
        <v>11.482884</v>
      </c>
      <c r="G28">
        <v>2248879</v>
      </c>
      <c r="O28" s="8" t="str">
        <f t="shared" si="0"/>
        <v>Loss</v>
      </c>
      <c r="P28" s="5" t="str">
        <f>IF(Table2[[#This Row],[Close]]&gt;Table2[[#This Row],[Open]],"profite","loss")</f>
        <v>loss</v>
      </c>
    </row>
    <row r="29" spans="1:16" x14ac:dyDescent="0.3">
      <c r="A29" s="1">
        <v>35405</v>
      </c>
      <c r="B29">
        <v>42.547874</v>
      </c>
      <c r="C29">
        <v>42.951847000000001</v>
      </c>
      <c r="D29">
        <v>41.676037000000001</v>
      </c>
      <c r="E29">
        <v>42.611587999999998</v>
      </c>
      <c r="F29">
        <v>11.21973</v>
      </c>
      <c r="G29">
        <v>3265414</v>
      </c>
      <c r="O29" s="8" t="str">
        <f t="shared" si="0"/>
        <v>Profit</v>
      </c>
      <c r="P29" s="6" t="str">
        <f>IF(Table2[[#This Row],[Close]]&gt;Table2[[#This Row],[Open]],"profite","loss")</f>
        <v>profite</v>
      </c>
    </row>
    <row r="30" spans="1:16" x14ac:dyDescent="0.3">
      <c r="A30" s="1">
        <v>35408</v>
      </c>
      <c r="B30">
        <v>42.951847000000001</v>
      </c>
      <c r="C30">
        <v>43.547218000000001</v>
      </c>
      <c r="D30">
        <v>42.909351000000001</v>
      </c>
      <c r="E30">
        <v>43.504707000000003</v>
      </c>
      <c r="F30">
        <v>11.454893</v>
      </c>
      <c r="G30">
        <v>1419902</v>
      </c>
      <c r="O30" s="8" t="str">
        <f t="shared" si="0"/>
        <v>Profit</v>
      </c>
      <c r="P30" s="5" t="str">
        <f>IF(Table2[[#This Row],[Close]]&gt;Table2[[#This Row],[Open]],"profite","loss")</f>
        <v>profite</v>
      </c>
    </row>
    <row r="31" spans="1:16" x14ac:dyDescent="0.3">
      <c r="A31" s="1">
        <v>35409</v>
      </c>
      <c r="B31">
        <v>43.717303999999999</v>
      </c>
      <c r="C31">
        <v>44.142586000000001</v>
      </c>
      <c r="D31">
        <v>43.377116999999998</v>
      </c>
      <c r="E31">
        <v>43.589714000000001</v>
      </c>
      <c r="F31">
        <v>11.477273</v>
      </c>
      <c r="G31">
        <v>1175236</v>
      </c>
      <c r="O31" s="8" t="str">
        <f t="shared" si="0"/>
        <v>Loss</v>
      </c>
      <c r="P31" s="6" t="str">
        <f>IF(Table2[[#This Row],[Close]]&gt;Table2[[#This Row],[Open]],"profite","loss")</f>
        <v>loss</v>
      </c>
    </row>
    <row r="32" spans="1:16" x14ac:dyDescent="0.3">
      <c r="A32" s="1">
        <v>35410</v>
      </c>
      <c r="B32">
        <v>43.292037999999998</v>
      </c>
      <c r="C32">
        <v>43.292037999999998</v>
      </c>
      <c r="D32">
        <v>42.322471999999998</v>
      </c>
      <c r="E32">
        <v>42.59037</v>
      </c>
      <c r="F32">
        <v>11.214149000000001</v>
      </c>
      <c r="G32">
        <v>1676590</v>
      </c>
      <c r="O32" s="8" t="str">
        <f t="shared" si="0"/>
        <v>Loss</v>
      </c>
      <c r="P32" s="5" t="str">
        <f>IF(Table2[[#This Row],[Close]]&gt;Table2[[#This Row],[Open]],"profite","loss")</f>
        <v>loss</v>
      </c>
    </row>
    <row r="33" spans="1:16" x14ac:dyDescent="0.3">
      <c r="A33" s="1">
        <v>35411</v>
      </c>
      <c r="B33">
        <v>42.569083999999997</v>
      </c>
      <c r="C33">
        <v>42.909351000000001</v>
      </c>
      <c r="D33">
        <v>42.420284000000002</v>
      </c>
      <c r="E33">
        <v>42.420284000000002</v>
      </c>
      <c r="F33">
        <v>11.169361</v>
      </c>
      <c r="G33">
        <v>976859</v>
      </c>
      <c r="O33" s="8" t="str">
        <f t="shared" si="0"/>
        <v>Loss</v>
      </c>
      <c r="P33" s="6" t="str">
        <f>IF(Table2[[#This Row],[Close]]&gt;Table2[[#This Row],[Open]],"profite","loss")</f>
        <v>loss</v>
      </c>
    </row>
    <row r="34" spans="1:16" x14ac:dyDescent="0.3">
      <c r="A34" s="1">
        <v>35412</v>
      </c>
      <c r="B34">
        <v>42.105553</v>
      </c>
      <c r="C34">
        <v>42.292693999999997</v>
      </c>
      <c r="D34">
        <v>41.867420000000003</v>
      </c>
      <c r="E34">
        <v>42.292693999999997</v>
      </c>
      <c r="F34">
        <v>11.135764</v>
      </c>
      <c r="G34">
        <v>1356782</v>
      </c>
      <c r="O34" s="8" t="str">
        <f t="shared" si="0"/>
        <v>Profit</v>
      </c>
      <c r="P34" s="5" t="str">
        <f>IF(Table2[[#This Row],[Close]]&gt;Table2[[#This Row],[Open]],"profite","loss")</f>
        <v>profite</v>
      </c>
    </row>
    <row r="35" spans="1:16" x14ac:dyDescent="0.3">
      <c r="A35" s="1">
        <v>35415</v>
      </c>
      <c r="B35">
        <v>42.313904000000001</v>
      </c>
      <c r="C35">
        <v>43.589714000000001</v>
      </c>
      <c r="D35">
        <v>41.995010000000001</v>
      </c>
      <c r="E35">
        <v>43.207034999999998</v>
      </c>
      <c r="F35">
        <v>11.376516000000001</v>
      </c>
      <c r="G35">
        <v>1808241</v>
      </c>
      <c r="O35" s="8" t="str">
        <f t="shared" si="0"/>
        <v>Profit</v>
      </c>
      <c r="P35" s="6" t="str">
        <f>IF(Table2[[#This Row],[Close]]&gt;Table2[[#This Row],[Open]],"profite","loss")</f>
        <v>profite</v>
      </c>
    </row>
    <row r="36" spans="1:16" x14ac:dyDescent="0.3">
      <c r="A36" s="1">
        <v>35416</v>
      </c>
      <c r="B36">
        <v>42.951847000000001</v>
      </c>
      <c r="C36">
        <v>43.100655000000003</v>
      </c>
      <c r="D36">
        <v>42.275635000000001</v>
      </c>
      <c r="E36">
        <v>42.505287000000003</v>
      </c>
      <c r="F36">
        <v>11.191741</v>
      </c>
      <c r="G36">
        <v>1686810</v>
      </c>
      <c r="O36" s="8" t="str">
        <f t="shared" si="0"/>
        <v>Loss</v>
      </c>
      <c r="P36" s="5" t="str">
        <f>IF(Table2[[#This Row],[Close]]&gt;Table2[[#This Row],[Open]],"profite","loss")</f>
        <v>loss</v>
      </c>
    </row>
    <row r="37" spans="1:16" x14ac:dyDescent="0.3">
      <c r="A37" s="1">
        <v>35417</v>
      </c>
      <c r="B37">
        <v>42.611587999999998</v>
      </c>
      <c r="C37">
        <v>42.781761000000003</v>
      </c>
      <c r="D37">
        <v>42.398991000000002</v>
      </c>
      <c r="E37">
        <v>42.526581</v>
      </c>
      <c r="F37">
        <v>11.197348</v>
      </c>
      <c r="G37">
        <v>1020742</v>
      </c>
      <c r="O37" s="8" t="str">
        <f t="shared" si="0"/>
        <v>Loss</v>
      </c>
      <c r="P37" s="6" t="str">
        <f>IF(Table2[[#This Row],[Close]]&gt;Table2[[#This Row],[Open]],"profite","loss")</f>
        <v>loss</v>
      </c>
    </row>
    <row r="38" spans="1:16" x14ac:dyDescent="0.3">
      <c r="A38" s="1">
        <v>35418</v>
      </c>
      <c r="B38">
        <v>42.611587999999998</v>
      </c>
      <c r="C38">
        <v>43.270736999999997</v>
      </c>
      <c r="D38">
        <v>42.569083999999997</v>
      </c>
      <c r="E38">
        <v>43.100655000000003</v>
      </c>
      <c r="F38">
        <v>11.348504999999999</v>
      </c>
      <c r="G38">
        <v>1162612</v>
      </c>
      <c r="O38" s="8" t="str">
        <f t="shared" si="0"/>
        <v>Profit</v>
      </c>
      <c r="P38" s="5" t="str">
        <f>IF(Table2[[#This Row],[Close]]&gt;Table2[[#This Row],[Open]],"profite","loss")</f>
        <v>profite</v>
      </c>
    </row>
    <row r="39" spans="1:16" x14ac:dyDescent="0.3">
      <c r="A39" s="1">
        <v>35419</v>
      </c>
      <c r="B39">
        <v>43.504707000000003</v>
      </c>
      <c r="C39">
        <v>43.908695000000002</v>
      </c>
      <c r="D39">
        <v>43.249538000000001</v>
      </c>
      <c r="E39">
        <v>43.377116999999998</v>
      </c>
      <c r="F39">
        <v>11.421296</v>
      </c>
      <c r="G39">
        <v>1404873</v>
      </c>
      <c r="O39" s="8" t="str">
        <f t="shared" si="0"/>
        <v>Loss</v>
      </c>
      <c r="P39" s="6" t="str">
        <f>IF(Table2[[#This Row],[Close]]&gt;Table2[[#This Row],[Open]],"profite","loss")</f>
        <v>loss</v>
      </c>
    </row>
    <row r="40" spans="1:16" x14ac:dyDescent="0.3">
      <c r="A40" s="1">
        <v>35422</v>
      </c>
      <c r="B40">
        <v>43.292037999999998</v>
      </c>
      <c r="C40">
        <v>43.653519000000003</v>
      </c>
      <c r="D40">
        <v>43.292037999999998</v>
      </c>
      <c r="E40">
        <v>43.462131999999997</v>
      </c>
      <c r="F40">
        <v>11.443678</v>
      </c>
      <c r="G40">
        <v>423806</v>
      </c>
      <c r="O40" s="8" t="str">
        <f t="shared" si="0"/>
        <v>Profit</v>
      </c>
      <c r="P40" s="5" t="str">
        <f>IF(Table2[[#This Row],[Close]]&gt;Table2[[#This Row],[Open]],"profite","loss")</f>
        <v>profite</v>
      </c>
    </row>
    <row r="41" spans="1:16" x14ac:dyDescent="0.3">
      <c r="A41" s="1">
        <v>35423</v>
      </c>
      <c r="B41">
        <v>43.462131999999997</v>
      </c>
      <c r="C41">
        <v>43.462131999999997</v>
      </c>
      <c r="D41">
        <v>43.462131999999997</v>
      </c>
      <c r="E41">
        <v>43.462131999999997</v>
      </c>
      <c r="F41">
        <v>11.443678</v>
      </c>
      <c r="G41">
        <v>0</v>
      </c>
      <c r="O41" s="8" t="str">
        <f t="shared" si="0"/>
        <v>No Change</v>
      </c>
      <c r="P41" s="6" t="str">
        <f>IF(Table2[[#This Row],[Close]]&gt;Table2[[#This Row],[Open]],"profite","loss")</f>
        <v>loss</v>
      </c>
    </row>
    <row r="42" spans="1:16" x14ac:dyDescent="0.3">
      <c r="A42" s="1">
        <v>35424</v>
      </c>
      <c r="B42">
        <v>43.462131999999997</v>
      </c>
      <c r="C42">
        <v>43.462131999999997</v>
      </c>
      <c r="D42">
        <v>43.462131999999997</v>
      </c>
      <c r="E42">
        <v>43.462131999999997</v>
      </c>
      <c r="F42">
        <v>11.443678</v>
      </c>
      <c r="G42">
        <v>0</v>
      </c>
      <c r="O42" s="8" t="str">
        <f t="shared" si="0"/>
        <v>No Change</v>
      </c>
      <c r="P42" s="5" t="str">
        <f>IF(Table2[[#This Row],[Close]]&gt;Table2[[#This Row],[Open]],"profite","loss")</f>
        <v>loss</v>
      </c>
    </row>
    <row r="43" spans="1:16" x14ac:dyDescent="0.3">
      <c r="A43" s="1">
        <v>35425</v>
      </c>
      <c r="B43">
        <v>43.462131999999997</v>
      </c>
      <c r="C43">
        <v>43.462131999999997</v>
      </c>
      <c r="D43">
        <v>43.462131999999997</v>
      </c>
      <c r="E43">
        <v>43.462131999999997</v>
      </c>
      <c r="F43">
        <v>11.443678</v>
      </c>
      <c r="G43">
        <v>0</v>
      </c>
      <c r="O43" s="8" t="str">
        <f t="shared" si="0"/>
        <v>No Change</v>
      </c>
      <c r="P43" s="6" t="str">
        <f>IF(Table2[[#This Row],[Close]]&gt;Table2[[#This Row],[Open]],"profite","loss")</f>
        <v>loss</v>
      </c>
    </row>
    <row r="44" spans="1:16" x14ac:dyDescent="0.3">
      <c r="A44" s="1">
        <v>35426</v>
      </c>
      <c r="B44">
        <v>43.632224999999998</v>
      </c>
      <c r="C44">
        <v>44.227673000000003</v>
      </c>
      <c r="D44">
        <v>43.632224999999998</v>
      </c>
      <c r="E44">
        <v>44.227673000000003</v>
      </c>
      <c r="F44">
        <v>11.645248</v>
      </c>
      <c r="G44">
        <v>441840</v>
      </c>
      <c r="O44" s="8" t="str">
        <f t="shared" si="0"/>
        <v>Profit</v>
      </c>
      <c r="P44" s="5" t="str">
        <f>IF(Table2[[#This Row],[Close]]&gt;Table2[[#This Row],[Open]],"profite","loss")</f>
        <v>profite</v>
      </c>
    </row>
    <row r="45" spans="1:16" x14ac:dyDescent="0.3">
      <c r="A45" s="1">
        <v>35429</v>
      </c>
      <c r="B45">
        <v>44.482761000000004</v>
      </c>
      <c r="C45">
        <v>45.248309999999996</v>
      </c>
      <c r="D45">
        <v>44.482761000000004</v>
      </c>
      <c r="E45">
        <v>45.141930000000002</v>
      </c>
      <c r="F45">
        <v>11.885973999999999</v>
      </c>
      <c r="G45">
        <v>977460</v>
      </c>
      <c r="O45" s="8" t="str">
        <f t="shared" si="0"/>
        <v>Profit</v>
      </c>
      <c r="P45" s="6" t="str">
        <f>IF(Table2[[#This Row],[Close]]&gt;Table2[[#This Row],[Open]],"profite","loss")</f>
        <v>profite</v>
      </c>
    </row>
    <row r="46" spans="1:16" x14ac:dyDescent="0.3">
      <c r="A46" s="1">
        <v>35430</v>
      </c>
      <c r="B46">
        <v>45.141930000000002</v>
      </c>
      <c r="C46">
        <v>45.141930000000002</v>
      </c>
      <c r="D46">
        <v>45.141930000000002</v>
      </c>
      <c r="E46">
        <v>45.141930000000002</v>
      </c>
      <c r="F46">
        <v>11.885973999999999</v>
      </c>
      <c r="G46">
        <v>0</v>
      </c>
      <c r="O46" s="8" t="str">
        <f t="shared" si="0"/>
        <v>No Change</v>
      </c>
      <c r="P46" s="5" t="str">
        <f>IF(Table2[[#This Row],[Close]]&gt;Table2[[#This Row],[Open]],"profite","loss")</f>
        <v>loss</v>
      </c>
    </row>
    <row r="47" spans="1:16" x14ac:dyDescent="0.3">
      <c r="A47" s="1">
        <v>35431</v>
      </c>
      <c r="B47">
        <v>45.141930000000002</v>
      </c>
      <c r="C47">
        <v>45.141930000000002</v>
      </c>
      <c r="D47">
        <v>45.141930000000002</v>
      </c>
      <c r="E47">
        <v>45.141930000000002</v>
      </c>
      <c r="F47">
        <v>11.885973999999999</v>
      </c>
      <c r="G47">
        <v>0</v>
      </c>
      <c r="O47" s="8" t="str">
        <f t="shared" si="0"/>
        <v>No Change</v>
      </c>
      <c r="P47" s="6" t="str">
        <f>IF(Table2[[#This Row],[Close]]&gt;Table2[[#This Row],[Open]],"profite","loss")</f>
        <v>loss</v>
      </c>
    </row>
    <row r="48" spans="1:16" x14ac:dyDescent="0.3">
      <c r="A48" s="1">
        <v>35432</v>
      </c>
      <c r="B48">
        <v>44.567855999999999</v>
      </c>
      <c r="C48">
        <v>44.567855999999999</v>
      </c>
      <c r="D48">
        <v>44.057487000000002</v>
      </c>
      <c r="E48">
        <v>44.142586000000001</v>
      </c>
      <c r="F48">
        <v>11.622847999999999</v>
      </c>
      <c r="G48">
        <v>1195675</v>
      </c>
      <c r="O48" s="8" t="str">
        <f t="shared" si="0"/>
        <v>Loss</v>
      </c>
      <c r="P48" s="5" t="str">
        <f>IF(Table2[[#This Row],[Close]]&gt;Table2[[#This Row],[Open]],"profite","loss")</f>
        <v>loss</v>
      </c>
    </row>
    <row r="49" spans="1:16" x14ac:dyDescent="0.3">
      <c r="A49" s="1">
        <v>35433</v>
      </c>
      <c r="B49">
        <v>44.418976000000001</v>
      </c>
      <c r="C49">
        <v>45.078125</v>
      </c>
      <c r="D49">
        <v>44.397754999999997</v>
      </c>
      <c r="E49">
        <v>44.993130000000001</v>
      </c>
      <c r="F49">
        <v>11.846795</v>
      </c>
      <c r="G49">
        <v>1320112</v>
      </c>
      <c r="O49" s="8" t="str">
        <f t="shared" si="0"/>
        <v>Profit</v>
      </c>
      <c r="P49" s="6" t="str">
        <f>IF(Table2[[#This Row],[Close]]&gt;Table2[[#This Row],[Open]],"profite","loss")</f>
        <v>profite</v>
      </c>
    </row>
    <row r="50" spans="1:16" x14ac:dyDescent="0.3">
      <c r="A50" s="1">
        <v>35436</v>
      </c>
      <c r="B50">
        <v>45.078125</v>
      </c>
      <c r="C50">
        <v>46.481541</v>
      </c>
      <c r="D50">
        <v>45.078125</v>
      </c>
      <c r="E50">
        <v>46.481541</v>
      </c>
      <c r="F50">
        <v>12.238699</v>
      </c>
      <c r="G50">
        <v>2076351</v>
      </c>
      <c r="O50" s="8" t="str">
        <f t="shared" si="0"/>
        <v>Profit</v>
      </c>
      <c r="P50" s="5" t="str">
        <f>IF(Table2[[#This Row],[Close]]&gt;Table2[[#This Row],[Open]],"profite","loss")</f>
        <v>profite</v>
      </c>
    </row>
    <row r="51" spans="1:16" x14ac:dyDescent="0.3">
      <c r="A51" s="1">
        <v>35437</v>
      </c>
      <c r="B51">
        <v>46.481541</v>
      </c>
      <c r="C51">
        <v>46.736721000000003</v>
      </c>
      <c r="D51">
        <v>45.716084000000002</v>
      </c>
      <c r="E51">
        <v>45.949962999999997</v>
      </c>
      <c r="F51">
        <v>12.098732999999999</v>
      </c>
      <c r="G51">
        <v>2154500</v>
      </c>
      <c r="O51" s="8" t="str">
        <f t="shared" si="0"/>
        <v>Loss</v>
      </c>
      <c r="P51" s="6" t="str">
        <f>IF(Table2[[#This Row],[Close]]&gt;Table2[[#This Row],[Open]],"profite","loss")</f>
        <v>loss</v>
      </c>
    </row>
    <row r="52" spans="1:16" x14ac:dyDescent="0.3">
      <c r="A52" s="1">
        <v>35438</v>
      </c>
      <c r="B52">
        <v>46.205143</v>
      </c>
      <c r="C52">
        <v>47.183193000000003</v>
      </c>
      <c r="D52">
        <v>45.843665999999999</v>
      </c>
      <c r="E52">
        <v>47.119408</v>
      </c>
      <c r="F52">
        <v>12.406651</v>
      </c>
      <c r="G52">
        <v>2371513</v>
      </c>
      <c r="O52" s="8" t="str">
        <f t="shared" si="0"/>
        <v>Profit</v>
      </c>
      <c r="P52" s="5" t="str">
        <f>IF(Table2[[#This Row],[Close]]&gt;Table2[[#This Row],[Open]],"profite","loss")</f>
        <v>profite</v>
      </c>
    </row>
    <row r="53" spans="1:16" x14ac:dyDescent="0.3">
      <c r="A53" s="1">
        <v>35439</v>
      </c>
      <c r="B53">
        <v>46.843018000000001</v>
      </c>
      <c r="C53">
        <v>47.459674999999997</v>
      </c>
      <c r="D53">
        <v>46.566628000000001</v>
      </c>
      <c r="E53">
        <v>47.459674999999997</v>
      </c>
      <c r="F53">
        <v>12.496243</v>
      </c>
      <c r="G53">
        <v>3569593</v>
      </c>
      <c r="O53" s="8" t="str">
        <f t="shared" si="0"/>
        <v>Profit</v>
      </c>
      <c r="P53" s="6" t="str">
        <f>IF(Table2[[#This Row],[Close]]&gt;Table2[[#This Row],[Open]],"profite","loss")</f>
        <v>profite</v>
      </c>
    </row>
    <row r="54" spans="1:16" x14ac:dyDescent="0.3">
      <c r="A54" s="1">
        <v>35440</v>
      </c>
      <c r="B54">
        <v>47.587265000000002</v>
      </c>
      <c r="C54">
        <v>47.672272</v>
      </c>
      <c r="D54">
        <v>46.821728</v>
      </c>
      <c r="E54">
        <v>47.246997999999998</v>
      </c>
      <c r="F54">
        <v>12.440244</v>
      </c>
      <c r="G54">
        <v>2677495</v>
      </c>
      <c r="O54" s="8" t="str">
        <f t="shared" si="0"/>
        <v>Loss</v>
      </c>
      <c r="P54" s="5" t="str">
        <f>IF(Table2[[#This Row],[Close]]&gt;Table2[[#This Row],[Open]],"profite","loss")</f>
        <v>loss</v>
      </c>
    </row>
    <row r="55" spans="1:16" x14ac:dyDescent="0.3">
      <c r="A55" s="1">
        <v>35443</v>
      </c>
      <c r="B55">
        <v>47.629767999999999</v>
      </c>
      <c r="C55">
        <v>49.054386000000001</v>
      </c>
      <c r="D55">
        <v>47.629767999999999</v>
      </c>
      <c r="E55">
        <v>49.054386000000001</v>
      </c>
      <c r="F55">
        <v>12.916131999999999</v>
      </c>
      <c r="G55">
        <v>1695827</v>
      </c>
      <c r="O55" s="8" t="str">
        <f t="shared" si="0"/>
        <v>Profit</v>
      </c>
      <c r="P55" s="6" t="str">
        <f>IF(Table2[[#This Row],[Close]]&gt;Table2[[#This Row],[Open]],"profite","loss")</f>
        <v>profite</v>
      </c>
    </row>
    <row r="56" spans="1:16" x14ac:dyDescent="0.3">
      <c r="A56" s="1">
        <v>35444</v>
      </c>
      <c r="B56">
        <v>49.096882000000001</v>
      </c>
      <c r="C56">
        <v>50.883063999999997</v>
      </c>
      <c r="D56">
        <v>48.799205999999998</v>
      </c>
      <c r="E56">
        <v>50.564082999999997</v>
      </c>
      <c r="F56">
        <v>13.313637999999999</v>
      </c>
      <c r="G56">
        <v>3127151</v>
      </c>
      <c r="O56" s="8" t="str">
        <f t="shared" si="0"/>
        <v>Profit</v>
      </c>
      <c r="P56" s="5" t="str">
        <f>IF(Table2[[#This Row],[Close]]&gt;Table2[[#This Row],[Open]],"profite","loss")</f>
        <v>profite</v>
      </c>
    </row>
    <row r="57" spans="1:16" x14ac:dyDescent="0.3">
      <c r="A57" s="1">
        <v>35445</v>
      </c>
      <c r="B57">
        <v>50.776767999999997</v>
      </c>
      <c r="C57">
        <v>51.010646999999999</v>
      </c>
      <c r="D57">
        <v>49.118172000000001</v>
      </c>
      <c r="E57">
        <v>49.309565999999997</v>
      </c>
      <c r="F57">
        <v>12.983328</v>
      </c>
      <c r="G57">
        <v>2413593</v>
      </c>
      <c r="O57" s="8" t="str">
        <f t="shared" si="0"/>
        <v>Loss</v>
      </c>
      <c r="P57" s="6" t="str">
        <f>IF(Table2[[#This Row],[Close]]&gt;Table2[[#This Row],[Open]],"profite","loss")</f>
        <v>loss</v>
      </c>
    </row>
    <row r="58" spans="1:16" x14ac:dyDescent="0.3">
      <c r="A58" s="1">
        <v>35446</v>
      </c>
      <c r="B58">
        <v>49.373359999999998</v>
      </c>
      <c r="C58">
        <v>49.649742000000003</v>
      </c>
      <c r="D58">
        <v>48.267634999999999</v>
      </c>
      <c r="E58">
        <v>48.905579000000003</v>
      </c>
      <c r="F58">
        <v>12.876951</v>
      </c>
      <c r="G58">
        <v>3065834</v>
      </c>
      <c r="O58" s="8" t="str">
        <f t="shared" si="0"/>
        <v>Loss</v>
      </c>
      <c r="P58" s="5" t="str">
        <f>IF(Table2[[#This Row],[Close]]&gt;Table2[[#This Row],[Open]],"profite","loss")</f>
        <v>loss</v>
      </c>
    </row>
    <row r="59" spans="1:16" x14ac:dyDescent="0.3">
      <c r="A59" s="1">
        <v>35447</v>
      </c>
      <c r="B59">
        <v>49.033175999999997</v>
      </c>
      <c r="C59">
        <v>50.372706999999998</v>
      </c>
      <c r="D59">
        <v>48.969379000000004</v>
      </c>
      <c r="E59">
        <v>49.798625999999999</v>
      </c>
      <c r="F59">
        <v>13.112090999999999</v>
      </c>
      <c r="G59">
        <v>2933582</v>
      </c>
      <c r="O59" s="8" t="str">
        <f t="shared" si="0"/>
        <v>Profit</v>
      </c>
      <c r="P59" s="6" t="str">
        <f>IF(Table2[[#This Row],[Close]]&gt;Table2[[#This Row],[Open]],"profite","loss")</f>
        <v>profite</v>
      </c>
    </row>
    <row r="60" spans="1:16" x14ac:dyDescent="0.3">
      <c r="A60" s="1">
        <v>35450</v>
      </c>
      <c r="B60">
        <v>50.181319999999999</v>
      </c>
      <c r="C60">
        <v>50.308909999999997</v>
      </c>
      <c r="D60">
        <v>48.352722</v>
      </c>
      <c r="E60">
        <v>48.437721000000003</v>
      </c>
      <c r="F60">
        <v>12.753764</v>
      </c>
      <c r="G60">
        <v>2759852</v>
      </c>
      <c r="O60" s="8" t="str">
        <f t="shared" si="0"/>
        <v>Loss</v>
      </c>
      <c r="P60" s="5" t="str">
        <f>IF(Table2[[#This Row],[Close]]&gt;Table2[[#This Row],[Open]],"profite","loss")</f>
        <v>loss</v>
      </c>
    </row>
    <row r="61" spans="1:16" x14ac:dyDescent="0.3">
      <c r="A61" s="1">
        <v>35451</v>
      </c>
      <c r="B61">
        <v>48.416519000000001</v>
      </c>
      <c r="C61">
        <v>48.671692</v>
      </c>
      <c r="D61">
        <v>47.736065000000004</v>
      </c>
      <c r="E61">
        <v>48.182631999999998</v>
      </c>
      <c r="F61">
        <v>12.686598999999999</v>
      </c>
      <c r="G61">
        <v>1222726</v>
      </c>
      <c r="O61" s="8" t="str">
        <f t="shared" si="0"/>
        <v>Loss</v>
      </c>
      <c r="P61" s="6" t="str">
        <f>IF(Table2[[#This Row],[Close]]&gt;Table2[[#This Row],[Open]],"profite","loss")</f>
        <v>loss</v>
      </c>
    </row>
    <row r="62" spans="1:16" x14ac:dyDescent="0.3">
      <c r="A62" s="1">
        <v>35452</v>
      </c>
      <c r="B62">
        <v>48.650398000000003</v>
      </c>
      <c r="C62">
        <v>49.394652999999998</v>
      </c>
      <c r="D62">
        <v>48.374015999999997</v>
      </c>
      <c r="E62">
        <v>48.692909</v>
      </c>
      <c r="F62">
        <v>12.820956000000001</v>
      </c>
      <c r="G62">
        <v>2346866</v>
      </c>
      <c r="O62" s="8" t="str">
        <f t="shared" si="0"/>
        <v>Profit</v>
      </c>
      <c r="P62" s="5" t="str">
        <f>IF(Table2[[#This Row],[Close]]&gt;Table2[[#This Row],[Open]],"profite","loss")</f>
        <v>profite</v>
      </c>
    </row>
    <row r="63" spans="1:16" x14ac:dyDescent="0.3">
      <c r="A63" s="1">
        <v>35453</v>
      </c>
      <c r="B63">
        <v>48.544102000000002</v>
      </c>
      <c r="C63">
        <v>49.798625999999999</v>
      </c>
      <c r="D63">
        <v>48.437721000000003</v>
      </c>
      <c r="E63">
        <v>49.309565999999997</v>
      </c>
      <c r="F63">
        <v>12.983328</v>
      </c>
      <c r="G63">
        <v>2158708</v>
      </c>
      <c r="O63" s="8" t="str">
        <f t="shared" si="0"/>
        <v>Profit</v>
      </c>
      <c r="P63" s="6" t="str">
        <f>IF(Table2[[#This Row],[Close]]&gt;Table2[[#This Row],[Open]],"profite","loss")</f>
        <v>profite</v>
      </c>
    </row>
    <row r="64" spans="1:16" x14ac:dyDescent="0.3">
      <c r="A64" s="1">
        <v>35454</v>
      </c>
      <c r="B64">
        <v>49.033175999999997</v>
      </c>
      <c r="C64">
        <v>49.033175999999997</v>
      </c>
      <c r="D64">
        <v>48.310223000000001</v>
      </c>
      <c r="E64">
        <v>48.310223000000001</v>
      </c>
      <c r="F64">
        <v>12.720195</v>
      </c>
      <c r="G64">
        <v>1696428</v>
      </c>
      <c r="O64" s="8" t="str">
        <f t="shared" si="0"/>
        <v>Loss</v>
      </c>
      <c r="P64" s="5" t="str">
        <f>IF(Table2[[#This Row],[Close]]&gt;Table2[[#This Row],[Open]],"profite","loss")</f>
        <v>loss</v>
      </c>
    </row>
    <row r="65" spans="1:16" x14ac:dyDescent="0.3">
      <c r="A65" s="1">
        <v>35457</v>
      </c>
      <c r="B65">
        <v>48.331425000000003</v>
      </c>
      <c r="C65">
        <v>48.650398000000003</v>
      </c>
      <c r="D65">
        <v>47.757351</v>
      </c>
      <c r="E65">
        <v>48.161338999999998</v>
      </c>
      <c r="F65">
        <v>12.680992</v>
      </c>
      <c r="G65">
        <v>845809</v>
      </c>
      <c r="O65" s="8" t="str">
        <f t="shared" si="0"/>
        <v>Loss</v>
      </c>
      <c r="P65" s="6" t="str">
        <f>IF(Table2[[#This Row],[Close]]&gt;Table2[[#This Row],[Open]],"profite","loss")</f>
        <v>loss</v>
      </c>
    </row>
    <row r="66" spans="1:16" x14ac:dyDescent="0.3">
      <c r="A66" s="1">
        <v>35458</v>
      </c>
      <c r="B66">
        <v>48.480311999999998</v>
      </c>
      <c r="C66">
        <v>49.500950000000003</v>
      </c>
      <c r="D66">
        <v>48.267634999999999</v>
      </c>
      <c r="E66">
        <v>49.373359999999998</v>
      </c>
      <c r="F66">
        <v>13.000121999999999</v>
      </c>
      <c r="G66">
        <v>2110616</v>
      </c>
      <c r="O66" s="8" t="str">
        <f t="shared" si="0"/>
        <v>Profit</v>
      </c>
      <c r="P66" s="5" t="str">
        <f>IF(Table2[[#This Row],[Close]]&gt;Table2[[#This Row],[Open]],"profite","loss")</f>
        <v>profite</v>
      </c>
    </row>
    <row r="67" spans="1:16" x14ac:dyDescent="0.3">
      <c r="A67" s="1">
        <v>35459</v>
      </c>
      <c r="B67">
        <v>49.033175999999997</v>
      </c>
      <c r="C67">
        <v>49.24577</v>
      </c>
      <c r="D67">
        <v>48.501522000000001</v>
      </c>
      <c r="E67">
        <v>48.820498999999998</v>
      </c>
      <c r="F67">
        <v>12.854552</v>
      </c>
      <c r="G67">
        <v>1556962</v>
      </c>
      <c r="O67" s="8" t="str">
        <f t="shared" ref="O67:O130" si="1">IF(E67&gt;B67,"Profit",IF(E67&lt;B67,"Loss","No Change"))</f>
        <v>Loss</v>
      </c>
      <c r="P67" s="6" t="str">
        <f>IF(Table2[[#This Row],[Close]]&gt;Table2[[#This Row],[Open]],"profite","loss")</f>
        <v>loss</v>
      </c>
    </row>
    <row r="68" spans="1:16" x14ac:dyDescent="0.3">
      <c r="A68" s="1">
        <v>35460</v>
      </c>
      <c r="B68">
        <v>49.033175999999997</v>
      </c>
      <c r="C68">
        <v>49.181975999999999</v>
      </c>
      <c r="D68">
        <v>48.714202999999998</v>
      </c>
      <c r="E68">
        <v>48.884293</v>
      </c>
      <c r="F68">
        <v>12.871347999999999</v>
      </c>
      <c r="G68">
        <v>975055</v>
      </c>
      <c r="O68" s="8" t="str">
        <f t="shared" si="1"/>
        <v>Loss</v>
      </c>
      <c r="P68" s="5" t="str">
        <f>IF(Table2[[#This Row],[Close]]&gt;Table2[[#This Row],[Open]],"profite","loss")</f>
        <v>loss</v>
      </c>
    </row>
    <row r="69" spans="1:16" x14ac:dyDescent="0.3">
      <c r="A69" s="1">
        <v>35461</v>
      </c>
      <c r="B69">
        <v>49.033175999999997</v>
      </c>
      <c r="C69">
        <v>49.862426999999997</v>
      </c>
      <c r="D69">
        <v>48.777988000000001</v>
      </c>
      <c r="E69">
        <v>49.628540000000001</v>
      </c>
      <c r="F69">
        <v>13.067308000000001</v>
      </c>
      <c r="G69">
        <v>1793813</v>
      </c>
      <c r="O69" s="8" t="str">
        <f t="shared" si="1"/>
        <v>Profit</v>
      </c>
      <c r="P69" s="6" t="str">
        <f>IF(Table2[[#This Row],[Close]]&gt;Table2[[#This Row],[Open]],"profite","loss")</f>
        <v>profite</v>
      </c>
    </row>
    <row r="70" spans="1:16" x14ac:dyDescent="0.3">
      <c r="A70" s="1">
        <v>35464</v>
      </c>
      <c r="B70">
        <v>49.968727000000001</v>
      </c>
      <c r="C70">
        <v>50.797969999999999</v>
      </c>
      <c r="D70">
        <v>49.968727000000001</v>
      </c>
      <c r="E70">
        <v>50.797969999999999</v>
      </c>
      <c r="F70">
        <v>13.375228</v>
      </c>
      <c r="G70">
        <v>2402171</v>
      </c>
      <c r="O70" s="8" t="str">
        <f t="shared" si="1"/>
        <v>Profit</v>
      </c>
      <c r="P70" s="5" t="str">
        <f>IF(Table2[[#This Row],[Close]]&gt;Table2[[#This Row],[Open]],"profite","loss")</f>
        <v>profite</v>
      </c>
    </row>
    <row r="71" spans="1:16" x14ac:dyDescent="0.3">
      <c r="A71" s="1">
        <v>35465</v>
      </c>
      <c r="B71">
        <v>50.989364999999999</v>
      </c>
      <c r="C71">
        <v>52.009990999999999</v>
      </c>
      <c r="D71">
        <v>50.989364999999999</v>
      </c>
      <c r="E71">
        <v>51.457129999999999</v>
      </c>
      <c r="F71">
        <v>13.548783</v>
      </c>
      <c r="G71">
        <v>2434633</v>
      </c>
      <c r="O71" s="8" t="str">
        <f t="shared" si="1"/>
        <v>Profit</v>
      </c>
      <c r="P71" s="6" t="str">
        <f>IF(Table2[[#This Row],[Close]]&gt;Table2[[#This Row],[Open]],"profite","loss")</f>
        <v>profite</v>
      </c>
    </row>
    <row r="72" spans="1:16" x14ac:dyDescent="0.3">
      <c r="A72" s="1">
        <v>35466</v>
      </c>
      <c r="B72">
        <v>51.627231999999999</v>
      </c>
      <c r="C72">
        <v>51.818615000000001</v>
      </c>
      <c r="D72">
        <v>51.116942999999999</v>
      </c>
      <c r="E72">
        <v>51.712318000000003</v>
      </c>
      <c r="F72">
        <v>13.615976</v>
      </c>
      <c r="G72">
        <v>1703040</v>
      </c>
      <c r="O72" s="8" t="str">
        <f t="shared" si="1"/>
        <v>Profit</v>
      </c>
      <c r="P72" s="5" t="str">
        <f>IF(Table2[[#This Row],[Close]]&gt;Table2[[#This Row],[Open]],"profite","loss")</f>
        <v>profite</v>
      </c>
    </row>
    <row r="73" spans="1:16" x14ac:dyDescent="0.3">
      <c r="A73" s="1">
        <v>35467</v>
      </c>
      <c r="B73">
        <v>51.712318000000003</v>
      </c>
      <c r="C73">
        <v>51.712318000000003</v>
      </c>
      <c r="D73">
        <v>51.712318000000003</v>
      </c>
      <c r="E73">
        <v>51.712318000000003</v>
      </c>
      <c r="F73">
        <v>13.615976</v>
      </c>
      <c r="G73">
        <v>0</v>
      </c>
      <c r="O73" s="8" t="str">
        <f t="shared" si="1"/>
        <v>No Change</v>
      </c>
      <c r="P73" s="6" t="str">
        <f>IF(Table2[[#This Row],[Close]]&gt;Table2[[#This Row],[Open]],"profite","loss")</f>
        <v>loss</v>
      </c>
    </row>
    <row r="74" spans="1:16" x14ac:dyDescent="0.3">
      <c r="A74" s="1">
        <v>35468</v>
      </c>
      <c r="B74">
        <v>51.393344999999997</v>
      </c>
      <c r="C74">
        <v>51.712318000000003</v>
      </c>
      <c r="D74">
        <v>51.372123999999999</v>
      </c>
      <c r="E74">
        <v>51.457129999999999</v>
      </c>
      <c r="F74">
        <v>13.548783</v>
      </c>
      <c r="G74">
        <v>509770</v>
      </c>
      <c r="O74" s="8" t="str">
        <f t="shared" si="1"/>
        <v>Profit</v>
      </c>
      <c r="P74" s="5" t="str">
        <f>IF(Table2[[#This Row],[Close]]&gt;Table2[[#This Row],[Open]],"profite","loss")</f>
        <v>profite</v>
      </c>
    </row>
    <row r="75" spans="1:16" x14ac:dyDescent="0.3">
      <c r="A75" s="1">
        <v>35471</v>
      </c>
      <c r="B75">
        <v>51.414634999999997</v>
      </c>
      <c r="C75">
        <v>52.328975999999997</v>
      </c>
      <c r="D75">
        <v>51.095661</v>
      </c>
      <c r="E75">
        <v>52.137580999999997</v>
      </c>
      <c r="F75">
        <v>13.727942000000001</v>
      </c>
      <c r="G75">
        <v>1505264</v>
      </c>
      <c r="O75" s="8" t="str">
        <f t="shared" si="1"/>
        <v>Profit</v>
      </c>
      <c r="P75" s="6" t="str">
        <f>IF(Table2[[#This Row],[Close]]&gt;Table2[[#This Row],[Open]],"profite","loss")</f>
        <v>profite</v>
      </c>
    </row>
    <row r="76" spans="1:16" x14ac:dyDescent="0.3">
      <c r="A76" s="1">
        <v>35472</v>
      </c>
      <c r="B76">
        <v>52.307682</v>
      </c>
      <c r="C76">
        <v>52.626658999999997</v>
      </c>
      <c r="D76">
        <v>52.137580999999997</v>
      </c>
      <c r="E76">
        <v>52.477767999999998</v>
      </c>
      <c r="F76">
        <v>13.817519000000001</v>
      </c>
      <c r="G76">
        <v>1308089</v>
      </c>
      <c r="O76" s="8" t="str">
        <f t="shared" si="1"/>
        <v>Profit</v>
      </c>
      <c r="P76" s="5" t="str">
        <f>IF(Table2[[#This Row],[Close]]&gt;Table2[[#This Row],[Open]],"profite","loss")</f>
        <v>profite</v>
      </c>
    </row>
    <row r="77" spans="1:16" x14ac:dyDescent="0.3">
      <c r="A77" s="1">
        <v>35473</v>
      </c>
      <c r="B77">
        <v>52.477767999999998</v>
      </c>
      <c r="C77">
        <v>52.477767999999998</v>
      </c>
      <c r="D77">
        <v>52.477767999999998</v>
      </c>
      <c r="E77">
        <v>52.477767999999998</v>
      </c>
      <c r="F77">
        <v>13.817519000000001</v>
      </c>
      <c r="G77">
        <v>0</v>
      </c>
      <c r="O77" s="8" t="str">
        <f t="shared" si="1"/>
        <v>No Change</v>
      </c>
      <c r="P77" s="6" t="str">
        <f>IF(Table2[[#This Row],[Close]]&gt;Table2[[#This Row],[Open]],"profite","loss")</f>
        <v>loss</v>
      </c>
    </row>
    <row r="78" spans="1:16" x14ac:dyDescent="0.3">
      <c r="A78" s="1">
        <v>35474</v>
      </c>
      <c r="B78">
        <v>53.030628</v>
      </c>
      <c r="C78">
        <v>53.179436000000003</v>
      </c>
      <c r="D78">
        <v>52.690444999999997</v>
      </c>
      <c r="E78">
        <v>53.115726000000002</v>
      </c>
      <c r="F78">
        <v>13.985492000000001</v>
      </c>
      <c r="G78">
        <v>2148488</v>
      </c>
      <c r="O78" s="8" t="str">
        <f t="shared" si="1"/>
        <v>Profit</v>
      </c>
      <c r="P78" s="5" t="str">
        <f>IF(Table2[[#This Row],[Close]]&gt;Table2[[#This Row],[Open]],"profite","loss")</f>
        <v>profite</v>
      </c>
    </row>
    <row r="79" spans="1:16" x14ac:dyDescent="0.3">
      <c r="A79" s="1">
        <v>35475</v>
      </c>
      <c r="B79">
        <v>53.158217999999998</v>
      </c>
      <c r="C79">
        <v>53.477195999999999</v>
      </c>
      <c r="D79">
        <v>52.392761</v>
      </c>
      <c r="E79">
        <v>52.477767999999998</v>
      </c>
      <c r="F79">
        <v>13.817519000000001</v>
      </c>
      <c r="G79">
        <v>2052305</v>
      </c>
      <c r="O79" s="8" t="str">
        <f t="shared" si="1"/>
        <v>Loss</v>
      </c>
      <c r="P79" s="6" t="str">
        <f>IF(Table2[[#This Row],[Close]]&gt;Table2[[#This Row],[Open]],"profite","loss")</f>
        <v>loss</v>
      </c>
    </row>
    <row r="80" spans="1:16" x14ac:dyDescent="0.3">
      <c r="A80" s="1">
        <v>35478</v>
      </c>
      <c r="B80">
        <v>52.477767999999998</v>
      </c>
      <c r="C80">
        <v>52.520279000000002</v>
      </c>
      <c r="D80">
        <v>51.839908999999999</v>
      </c>
      <c r="E80">
        <v>52.328975999999997</v>
      </c>
      <c r="F80">
        <v>13.778343</v>
      </c>
      <c r="G80">
        <v>1224530</v>
      </c>
      <c r="O80" s="8" t="str">
        <f t="shared" si="1"/>
        <v>Loss</v>
      </c>
      <c r="P80" s="5" t="str">
        <f>IF(Table2[[#This Row],[Close]]&gt;Table2[[#This Row],[Open]],"profite","loss")</f>
        <v>loss</v>
      </c>
    </row>
    <row r="81" spans="1:16" x14ac:dyDescent="0.3">
      <c r="A81" s="1">
        <v>35479</v>
      </c>
      <c r="B81">
        <v>52.520279000000002</v>
      </c>
      <c r="C81">
        <v>52.903038000000002</v>
      </c>
      <c r="D81">
        <v>52.307682</v>
      </c>
      <c r="E81">
        <v>52.413978999999998</v>
      </c>
      <c r="F81">
        <v>13.800724000000001</v>
      </c>
      <c r="G81">
        <v>1015933</v>
      </c>
      <c r="O81" s="8" t="str">
        <f t="shared" si="1"/>
        <v>Loss</v>
      </c>
      <c r="P81" s="6" t="str">
        <f>IF(Table2[[#This Row],[Close]]&gt;Table2[[#This Row],[Open]],"profite","loss")</f>
        <v>loss</v>
      </c>
    </row>
    <row r="82" spans="1:16" x14ac:dyDescent="0.3">
      <c r="A82" s="1">
        <v>35480</v>
      </c>
      <c r="B82">
        <v>52.031283999999999</v>
      </c>
      <c r="C82">
        <v>52.031283999999999</v>
      </c>
      <c r="D82">
        <v>52.031283999999999</v>
      </c>
      <c r="E82">
        <v>52.031283999999999</v>
      </c>
      <c r="F82">
        <v>13.699959</v>
      </c>
      <c r="G82">
        <v>2167124</v>
      </c>
      <c r="O82" s="8" t="str">
        <f t="shared" si="1"/>
        <v>No Change</v>
      </c>
      <c r="P82" s="5" t="str">
        <f>IF(Table2[[#This Row],[Close]]&gt;Table2[[#This Row],[Open]],"profite","loss")</f>
        <v>loss</v>
      </c>
    </row>
    <row r="83" spans="1:16" x14ac:dyDescent="0.3">
      <c r="A83" s="1">
        <v>35481</v>
      </c>
      <c r="B83">
        <v>52.095089000000002</v>
      </c>
      <c r="C83">
        <v>52.435271999999998</v>
      </c>
      <c r="D83">
        <v>51.733612000000001</v>
      </c>
      <c r="E83">
        <v>52.435271999999998</v>
      </c>
      <c r="F83">
        <v>13.806329</v>
      </c>
      <c r="G83">
        <v>2208001</v>
      </c>
      <c r="O83" s="8" t="str">
        <f t="shared" si="1"/>
        <v>Profit</v>
      </c>
      <c r="P83" s="6" t="str">
        <f>IF(Table2[[#This Row],[Close]]&gt;Table2[[#This Row],[Open]],"profite","loss")</f>
        <v>profite</v>
      </c>
    </row>
    <row r="84" spans="1:16" x14ac:dyDescent="0.3">
      <c r="A84" s="1">
        <v>35482</v>
      </c>
      <c r="B84">
        <v>52.435271999999998</v>
      </c>
      <c r="C84">
        <v>52.435271999999998</v>
      </c>
      <c r="D84">
        <v>52.435271999999998</v>
      </c>
      <c r="E84">
        <v>52.435271999999998</v>
      </c>
      <c r="F84">
        <v>13.806329</v>
      </c>
      <c r="G84">
        <v>0</v>
      </c>
      <c r="O84" s="8" t="str">
        <f t="shared" si="1"/>
        <v>No Change</v>
      </c>
      <c r="P84" s="5" t="str">
        <f>IF(Table2[[#This Row],[Close]]&gt;Table2[[#This Row],[Open]],"profite","loss")</f>
        <v>loss</v>
      </c>
    </row>
    <row r="85" spans="1:16" x14ac:dyDescent="0.3">
      <c r="A85" s="1">
        <v>35485</v>
      </c>
      <c r="B85">
        <v>51.669815</v>
      </c>
      <c r="C85">
        <v>51.712318000000003</v>
      </c>
      <c r="D85">
        <v>50.925567999999998</v>
      </c>
      <c r="E85">
        <v>51.244534000000002</v>
      </c>
      <c r="F85">
        <v>13.492805000000001</v>
      </c>
      <c r="G85">
        <v>1078452</v>
      </c>
      <c r="O85" s="8" t="str">
        <f t="shared" si="1"/>
        <v>Loss</v>
      </c>
      <c r="P85" s="6" t="str">
        <f>IF(Table2[[#This Row],[Close]]&gt;Table2[[#This Row],[Open]],"profite","loss")</f>
        <v>loss</v>
      </c>
    </row>
    <row r="86" spans="1:16" x14ac:dyDescent="0.3">
      <c r="A86" s="1">
        <v>35486</v>
      </c>
      <c r="B86">
        <v>51.754821999999997</v>
      </c>
      <c r="C86">
        <v>52.243881000000002</v>
      </c>
      <c r="D86">
        <v>51.627231999999999</v>
      </c>
      <c r="E86">
        <v>51.946204999999999</v>
      </c>
      <c r="F86">
        <v>13.677557</v>
      </c>
      <c r="G86">
        <v>1506466</v>
      </c>
      <c r="O86" s="8" t="str">
        <f t="shared" si="1"/>
        <v>Profit</v>
      </c>
      <c r="P86" s="5" t="str">
        <f>IF(Table2[[#This Row],[Close]]&gt;Table2[[#This Row],[Open]],"profite","loss")</f>
        <v>profite</v>
      </c>
    </row>
    <row r="87" spans="1:16" x14ac:dyDescent="0.3">
      <c r="A87" s="1">
        <v>35487</v>
      </c>
      <c r="B87">
        <v>51.882407999999998</v>
      </c>
      <c r="C87">
        <v>52.031283999999999</v>
      </c>
      <c r="D87">
        <v>51.201957999999998</v>
      </c>
      <c r="E87">
        <v>51.563426999999997</v>
      </c>
      <c r="F87">
        <v>13.576772999999999</v>
      </c>
      <c r="G87">
        <v>1573193</v>
      </c>
      <c r="O87" s="8" t="str">
        <f t="shared" si="1"/>
        <v>Loss</v>
      </c>
      <c r="P87" s="6" t="str">
        <f>IF(Table2[[#This Row],[Close]]&gt;Table2[[#This Row],[Open]],"profite","loss")</f>
        <v>loss</v>
      </c>
    </row>
    <row r="88" spans="1:16" x14ac:dyDescent="0.3">
      <c r="A88" s="1">
        <v>35488</v>
      </c>
      <c r="B88">
        <v>51.627231999999999</v>
      </c>
      <c r="C88">
        <v>52.456566000000002</v>
      </c>
      <c r="D88">
        <v>51.627231999999999</v>
      </c>
      <c r="E88">
        <v>52.073794999999997</v>
      </c>
      <c r="F88">
        <v>13.711152999999999</v>
      </c>
      <c r="G88">
        <v>1414491</v>
      </c>
      <c r="O88" s="8" t="str">
        <f t="shared" si="1"/>
        <v>Profit</v>
      </c>
      <c r="P88" s="5" t="str">
        <f>IF(Table2[[#This Row],[Close]]&gt;Table2[[#This Row],[Open]],"profite","loss")</f>
        <v>profite</v>
      </c>
    </row>
    <row r="89" spans="1:16" x14ac:dyDescent="0.3">
      <c r="A89" s="1">
        <v>35489</v>
      </c>
      <c r="B89">
        <v>51.967498999999997</v>
      </c>
      <c r="C89">
        <v>52.456566000000002</v>
      </c>
      <c r="D89">
        <v>51.967498999999997</v>
      </c>
      <c r="E89">
        <v>52.052501999999997</v>
      </c>
      <c r="F89">
        <v>13.705546999999999</v>
      </c>
      <c r="G89">
        <v>1195074</v>
      </c>
      <c r="O89" s="8" t="str">
        <f t="shared" si="1"/>
        <v>Profit</v>
      </c>
      <c r="P89" s="6" t="str">
        <f>IF(Table2[[#This Row],[Close]]&gt;Table2[[#This Row],[Open]],"profite","loss")</f>
        <v>profite</v>
      </c>
    </row>
    <row r="90" spans="1:16" x14ac:dyDescent="0.3">
      <c r="A90" s="1">
        <v>35492</v>
      </c>
      <c r="B90">
        <v>52.052501999999997</v>
      </c>
      <c r="C90">
        <v>52.690444999999997</v>
      </c>
      <c r="D90">
        <v>51.946204999999999</v>
      </c>
      <c r="E90">
        <v>52.562862000000003</v>
      </c>
      <c r="F90">
        <v>13.839926</v>
      </c>
      <c r="G90">
        <v>973252</v>
      </c>
      <c r="O90" s="8" t="str">
        <f t="shared" si="1"/>
        <v>Profit</v>
      </c>
      <c r="P90" s="5" t="str">
        <f>IF(Table2[[#This Row],[Close]]&gt;Table2[[#This Row],[Open]],"profite","loss")</f>
        <v>profite</v>
      </c>
    </row>
    <row r="91" spans="1:16" x14ac:dyDescent="0.3">
      <c r="A91" s="1">
        <v>35493</v>
      </c>
      <c r="B91">
        <v>53.158217999999998</v>
      </c>
      <c r="C91">
        <v>55.071911</v>
      </c>
      <c r="D91">
        <v>53.158217999999998</v>
      </c>
      <c r="E91">
        <v>54.81673</v>
      </c>
      <c r="F91">
        <v>14.433372</v>
      </c>
      <c r="G91">
        <v>3679602</v>
      </c>
      <c r="O91" s="8" t="str">
        <f t="shared" si="1"/>
        <v>Profit</v>
      </c>
      <c r="P91" s="6" t="str">
        <f>IF(Table2[[#This Row],[Close]]&gt;Table2[[#This Row],[Open]],"profite","loss")</f>
        <v>profite</v>
      </c>
    </row>
    <row r="92" spans="1:16" x14ac:dyDescent="0.3">
      <c r="A92" s="1">
        <v>35494</v>
      </c>
      <c r="B92">
        <v>54.986823999999999</v>
      </c>
      <c r="C92">
        <v>55.624775</v>
      </c>
      <c r="D92">
        <v>54.625346999999998</v>
      </c>
      <c r="E92">
        <v>55.156993999999997</v>
      </c>
      <c r="F92">
        <v>14.522964</v>
      </c>
      <c r="G92">
        <v>4286156</v>
      </c>
      <c r="O92" s="8" t="str">
        <f t="shared" si="1"/>
        <v>Profit</v>
      </c>
      <c r="P92" s="5" t="str">
        <f>IF(Table2[[#This Row],[Close]]&gt;Table2[[#This Row],[Open]],"profite","loss")</f>
        <v>profite</v>
      </c>
    </row>
    <row r="93" spans="1:16" x14ac:dyDescent="0.3">
      <c r="A93" s="1">
        <v>35495</v>
      </c>
      <c r="B93">
        <v>55.582180000000001</v>
      </c>
      <c r="C93">
        <v>56.390231999999997</v>
      </c>
      <c r="D93">
        <v>55.327083999999999</v>
      </c>
      <c r="E93">
        <v>55.475883000000003</v>
      </c>
      <c r="F93">
        <v>14.60693</v>
      </c>
      <c r="G93">
        <v>2330034</v>
      </c>
      <c r="O93" s="8" t="str">
        <f t="shared" si="1"/>
        <v>Loss</v>
      </c>
      <c r="P93" s="6" t="str">
        <f>IF(Table2[[#This Row],[Close]]&gt;Table2[[#This Row],[Open]],"profite","loss")</f>
        <v>loss</v>
      </c>
    </row>
    <row r="94" spans="1:16" x14ac:dyDescent="0.3">
      <c r="A94" s="1">
        <v>35496</v>
      </c>
      <c r="B94">
        <v>55.327083999999999</v>
      </c>
      <c r="C94">
        <v>56.283935999999997</v>
      </c>
      <c r="D94">
        <v>54.774231</v>
      </c>
      <c r="E94">
        <v>56.262633999999998</v>
      </c>
      <c r="F94">
        <v>14.814086</v>
      </c>
      <c r="G94">
        <v>2625796</v>
      </c>
      <c r="O94" s="8" t="str">
        <f t="shared" si="1"/>
        <v>Profit</v>
      </c>
      <c r="P94" s="5" t="str">
        <f>IF(Table2[[#This Row],[Close]]&gt;Table2[[#This Row],[Open]],"profite","loss")</f>
        <v>profite</v>
      </c>
    </row>
    <row r="95" spans="1:16" x14ac:dyDescent="0.3">
      <c r="A95" s="1">
        <v>35499</v>
      </c>
      <c r="B95">
        <v>56.432727999999997</v>
      </c>
      <c r="C95">
        <v>56.517814999999999</v>
      </c>
      <c r="D95">
        <v>55.497185000000002</v>
      </c>
      <c r="E95">
        <v>56.135052000000002</v>
      </c>
      <c r="F95">
        <v>14.780488999999999</v>
      </c>
      <c r="G95">
        <v>1420503</v>
      </c>
      <c r="O95" s="8" t="str">
        <f t="shared" si="1"/>
        <v>Loss</v>
      </c>
      <c r="P95" s="6" t="str">
        <f>IF(Table2[[#This Row],[Close]]&gt;Table2[[#This Row],[Open]],"profite","loss")</f>
        <v>loss</v>
      </c>
    </row>
    <row r="96" spans="1:16" x14ac:dyDescent="0.3">
      <c r="A96" s="1">
        <v>35500</v>
      </c>
      <c r="B96">
        <v>56.347729000000001</v>
      </c>
      <c r="C96">
        <v>56.858006000000003</v>
      </c>
      <c r="D96">
        <v>55.879955000000002</v>
      </c>
      <c r="E96">
        <v>55.879955000000002</v>
      </c>
      <c r="F96">
        <v>14.713323000000001</v>
      </c>
      <c r="G96">
        <v>1362793</v>
      </c>
      <c r="O96" s="8" t="str">
        <f t="shared" si="1"/>
        <v>Loss</v>
      </c>
      <c r="P96" s="5" t="str">
        <f>IF(Table2[[#This Row],[Close]]&gt;Table2[[#This Row],[Open]],"profite","loss")</f>
        <v>loss</v>
      </c>
    </row>
    <row r="97" spans="1:16" x14ac:dyDescent="0.3">
      <c r="A97" s="1">
        <v>35501</v>
      </c>
      <c r="B97">
        <v>55.879955000000002</v>
      </c>
      <c r="C97">
        <v>56.198849000000003</v>
      </c>
      <c r="D97">
        <v>54.263863000000001</v>
      </c>
      <c r="E97">
        <v>54.434035999999999</v>
      </c>
      <c r="F97">
        <v>14.332608</v>
      </c>
      <c r="G97">
        <v>1914042</v>
      </c>
      <c r="O97" s="8" t="str">
        <f t="shared" si="1"/>
        <v>Loss</v>
      </c>
      <c r="P97" s="6" t="str">
        <f>IF(Table2[[#This Row],[Close]]&gt;Table2[[#This Row],[Open]],"profite","loss")</f>
        <v>loss</v>
      </c>
    </row>
    <row r="98" spans="1:16" x14ac:dyDescent="0.3">
      <c r="A98" s="1">
        <v>35502</v>
      </c>
      <c r="B98">
        <v>54.029983999999999</v>
      </c>
      <c r="C98">
        <v>54.561549999999997</v>
      </c>
      <c r="D98">
        <v>53.753585999999999</v>
      </c>
      <c r="E98">
        <v>54.412754</v>
      </c>
      <c r="F98">
        <v>14.327006000000001</v>
      </c>
      <c r="G98">
        <v>1635111</v>
      </c>
      <c r="O98" s="8" t="str">
        <f t="shared" si="1"/>
        <v>Profit</v>
      </c>
      <c r="P98" s="5" t="str">
        <f>IF(Table2[[#This Row],[Close]]&gt;Table2[[#This Row],[Open]],"profite","loss")</f>
        <v>profite</v>
      </c>
    </row>
    <row r="99" spans="1:16" x14ac:dyDescent="0.3">
      <c r="A99" s="1">
        <v>35503</v>
      </c>
      <c r="B99">
        <v>53.838673</v>
      </c>
      <c r="C99">
        <v>56.198849000000003</v>
      </c>
      <c r="D99">
        <v>53.838673</v>
      </c>
      <c r="E99">
        <v>56.007454000000003</v>
      </c>
      <c r="F99">
        <v>14.74689</v>
      </c>
      <c r="G99">
        <v>2347467</v>
      </c>
      <c r="O99" s="8" t="str">
        <f t="shared" si="1"/>
        <v>Profit</v>
      </c>
      <c r="P99" s="6" t="str">
        <f>IF(Table2[[#This Row],[Close]]&gt;Table2[[#This Row],[Open]],"profite","loss")</f>
        <v>profite</v>
      </c>
    </row>
    <row r="100" spans="1:16" x14ac:dyDescent="0.3">
      <c r="A100" s="1">
        <v>35506</v>
      </c>
      <c r="B100">
        <v>55.964958000000003</v>
      </c>
      <c r="C100">
        <v>56.092548000000001</v>
      </c>
      <c r="D100">
        <v>54.582836</v>
      </c>
      <c r="E100">
        <v>54.625346999999998</v>
      </c>
      <c r="F100">
        <v>14.382982</v>
      </c>
      <c r="G100">
        <v>1246171</v>
      </c>
      <c r="O100" s="8" t="str">
        <f t="shared" si="1"/>
        <v>Loss</v>
      </c>
      <c r="P100" s="5" t="str">
        <f>IF(Table2[[#This Row],[Close]]&gt;Table2[[#This Row],[Open]],"profite","loss")</f>
        <v>loss</v>
      </c>
    </row>
    <row r="101" spans="1:16" x14ac:dyDescent="0.3">
      <c r="A101" s="1">
        <v>35507</v>
      </c>
      <c r="B101">
        <v>54.646633000000001</v>
      </c>
      <c r="C101">
        <v>55.114407</v>
      </c>
      <c r="D101">
        <v>53.540908999999999</v>
      </c>
      <c r="E101">
        <v>53.668506999999998</v>
      </c>
      <c r="F101">
        <v>14.131043</v>
      </c>
      <c r="G101">
        <v>2370310</v>
      </c>
      <c r="O101" s="8" t="str">
        <f t="shared" si="1"/>
        <v>Loss</v>
      </c>
      <c r="P101" s="6" t="str">
        <f>IF(Table2[[#This Row],[Close]]&gt;Table2[[#This Row],[Open]],"profite","loss")</f>
        <v>loss</v>
      </c>
    </row>
    <row r="102" spans="1:16" x14ac:dyDescent="0.3">
      <c r="A102" s="1">
        <v>35508</v>
      </c>
      <c r="B102">
        <v>53.796084999999998</v>
      </c>
      <c r="C102">
        <v>54.178863999999997</v>
      </c>
      <c r="D102">
        <v>53.583492</v>
      </c>
      <c r="E102">
        <v>53.881183999999998</v>
      </c>
      <c r="F102">
        <v>14.187041000000001</v>
      </c>
      <c r="G102">
        <v>1279234</v>
      </c>
      <c r="O102" s="8" t="str">
        <f t="shared" si="1"/>
        <v>Profit</v>
      </c>
      <c r="P102" s="5" t="str">
        <f>IF(Table2[[#This Row],[Close]]&gt;Table2[[#This Row],[Open]],"profite","loss")</f>
        <v>profite</v>
      </c>
    </row>
    <row r="103" spans="1:16" x14ac:dyDescent="0.3">
      <c r="A103" s="1">
        <v>35509</v>
      </c>
      <c r="B103">
        <v>53.796084999999998</v>
      </c>
      <c r="C103">
        <v>53.838673</v>
      </c>
      <c r="D103">
        <v>52.477767999999998</v>
      </c>
      <c r="E103">
        <v>52.945549</v>
      </c>
      <c r="F103">
        <v>13.940687</v>
      </c>
      <c r="G103">
        <v>2714766</v>
      </c>
      <c r="O103" s="8" t="str">
        <f t="shared" si="1"/>
        <v>Loss</v>
      </c>
      <c r="P103" s="6" t="str">
        <f>IF(Table2[[#This Row],[Close]]&gt;Table2[[#This Row],[Open]],"profite","loss")</f>
        <v>loss</v>
      </c>
    </row>
    <row r="104" spans="1:16" x14ac:dyDescent="0.3">
      <c r="A104" s="1">
        <v>35510</v>
      </c>
      <c r="B104">
        <v>53.370815</v>
      </c>
      <c r="C104">
        <v>54.348956999999999</v>
      </c>
      <c r="D104">
        <v>53.243232999999996</v>
      </c>
      <c r="E104">
        <v>53.796084999999998</v>
      </c>
      <c r="F104">
        <v>14.164634</v>
      </c>
      <c r="G104">
        <v>1891199</v>
      </c>
      <c r="O104" s="8" t="str">
        <f t="shared" si="1"/>
        <v>Profit</v>
      </c>
      <c r="P104" s="5" t="str">
        <f>IF(Table2[[#This Row],[Close]]&gt;Table2[[#This Row],[Open]],"profite","loss")</f>
        <v>profite</v>
      </c>
    </row>
    <row r="105" spans="1:16" x14ac:dyDescent="0.3">
      <c r="A105" s="1">
        <v>35513</v>
      </c>
      <c r="B105">
        <v>53.902386</v>
      </c>
      <c r="C105">
        <v>54.731720000000003</v>
      </c>
      <c r="D105">
        <v>53.902386</v>
      </c>
      <c r="E105">
        <v>54.157573999999997</v>
      </c>
      <c r="F105">
        <v>14.259812999999999</v>
      </c>
      <c r="G105">
        <v>925160</v>
      </c>
      <c r="O105" s="8" t="str">
        <f t="shared" si="1"/>
        <v>Profit</v>
      </c>
      <c r="P105" s="6" t="str">
        <f>IF(Table2[[#This Row],[Close]]&gt;Table2[[#This Row],[Open]],"profite","loss")</f>
        <v>profite</v>
      </c>
    </row>
    <row r="106" spans="1:16" x14ac:dyDescent="0.3">
      <c r="A106" s="1">
        <v>35514</v>
      </c>
      <c r="B106">
        <v>54.540332999999997</v>
      </c>
      <c r="C106">
        <v>55.390887999999997</v>
      </c>
      <c r="D106">
        <v>54.47654</v>
      </c>
      <c r="E106">
        <v>55.284508000000002</v>
      </c>
      <c r="F106">
        <v>14.55654</v>
      </c>
      <c r="G106">
        <v>1247373</v>
      </c>
      <c r="O106" s="8" t="str">
        <f t="shared" si="1"/>
        <v>Profit</v>
      </c>
      <c r="P106" s="5" t="str">
        <f>IF(Table2[[#This Row],[Close]]&gt;Table2[[#This Row],[Open]],"profite","loss")</f>
        <v>profite</v>
      </c>
    </row>
    <row r="107" spans="1:16" x14ac:dyDescent="0.3">
      <c r="A107" s="1">
        <v>35515</v>
      </c>
      <c r="B107">
        <v>55.071911</v>
      </c>
      <c r="C107">
        <v>57.836136000000003</v>
      </c>
      <c r="D107">
        <v>54.81673</v>
      </c>
      <c r="E107">
        <v>57.751052999999999</v>
      </c>
      <c r="F107">
        <v>15.205988</v>
      </c>
      <c r="G107">
        <v>2785100</v>
      </c>
      <c r="O107" s="8" t="str">
        <f t="shared" si="1"/>
        <v>Profit</v>
      </c>
      <c r="P107" s="6" t="str">
        <f>IF(Table2[[#This Row],[Close]]&gt;Table2[[#This Row],[Open]],"profite","loss")</f>
        <v>profite</v>
      </c>
    </row>
    <row r="108" spans="1:16" x14ac:dyDescent="0.3">
      <c r="A108" s="1">
        <v>35516</v>
      </c>
      <c r="B108">
        <v>58.686680000000003</v>
      </c>
      <c r="C108">
        <v>58.77169</v>
      </c>
      <c r="D108">
        <v>56.539116</v>
      </c>
      <c r="E108">
        <v>56.539116</v>
      </c>
      <c r="F108">
        <v>14.886884999999999</v>
      </c>
      <c r="G108">
        <v>932374</v>
      </c>
      <c r="O108" s="8" t="str">
        <f t="shared" si="1"/>
        <v>Loss</v>
      </c>
      <c r="P108" s="5" t="str">
        <f>IF(Table2[[#This Row],[Close]]&gt;Table2[[#This Row],[Open]],"profite","loss")</f>
        <v>loss</v>
      </c>
    </row>
    <row r="109" spans="1:16" x14ac:dyDescent="0.3">
      <c r="A109" s="1">
        <v>35517</v>
      </c>
      <c r="B109">
        <v>56.539116</v>
      </c>
      <c r="C109">
        <v>56.539116</v>
      </c>
      <c r="D109">
        <v>56.539116</v>
      </c>
      <c r="E109">
        <v>56.539116</v>
      </c>
      <c r="F109">
        <v>14.886884999999999</v>
      </c>
      <c r="G109">
        <v>0</v>
      </c>
      <c r="O109" s="8" t="str">
        <f t="shared" si="1"/>
        <v>No Change</v>
      </c>
      <c r="P109" s="6" t="str">
        <f>IF(Table2[[#This Row],[Close]]&gt;Table2[[#This Row],[Open]],"profite","loss")</f>
        <v>loss</v>
      </c>
    </row>
    <row r="110" spans="1:16" x14ac:dyDescent="0.3">
      <c r="A110" s="1">
        <v>35520</v>
      </c>
      <c r="B110">
        <v>56.539116</v>
      </c>
      <c r="C110">
        <v>56.539116</v>
      </c>
      <c r="D110">
        <v>56.539116</v>
      </c>
      <c r="E110">
        <v>56.539116</v>
      </c>
      <c r="F110">
        <v>14.886884999999999</v>
      </c>
      <c r="G110">
        <v>0</v>
      </c>
      <c r="O110" s="8" t="str">
        <f t="shared" si="1"/>
        <v>No Change</v>
      </c>
      <c r="P110" s="5" t="str">
        <f>IF(Table2[[#This Row],[Close]]&gt;Table2[[#This Row],[Open]],"profite","loss")</f>
        <v>loss</v>
      </c>
    </row>
    <row r="111" spans="1:16" x14ac:dyDescent="0.3">
      <c r="A111" s="1">
        <v>35521</v>
      </c>
      <c r="B111">
        <v>54.986823999999999</v>
      </c>
      <c r="C111">
        <v>54.986823999999999</v>
      </c>
      <c r="D111">
        <v>52.945549</v>
      </c>
      <c r="E111">
        <v>53.774883000000003</v>
      </c>
      <c r="F111">
        <v>14.159052000000001</v>
      </c>
      <c r="G111">
        <v>2940195</v>
      </c>
      <c r="O111" s="8" t="str">
        <f t="shared" si="1"/>
        <v>Loss</v>
      </c>
      <c r="P111" s="6" t="str">
        <f>IF(Table2[[#This Row],[Close]]&gt;Table2[[#This Row],[Open]],"profite","loss")</f>
        <v>loss</v>
      </c>
    </row>
    <row r="112" spans="1:16" x14ac:dyDescent="0.3">
      <c r="A112" s="1">
        <v>35522</v>
      </c>
      <c r="B112">
        <v>54.008761999999997</v>
      </c>
      <c r="C112">
        <v>54.540332999999997</v>
      </c>
      <c r="D112">
        <v>52.541569000000003</v>
      </c>
      <c r="E112">
        <v>52.711655</v>
      </c>
      <c r="F112">
        <v>13.879104</v>
      </c>
      <c r="G112">
        <v>2380530</v>
      </c>
      <c r="O112" s="8" t="str">
        <f t="shared" si="1"/>
        <v>Loss</v>
      </c>
      <c r="P112" s="5" t="str">
        <f>IF(Table2[[#This Row],[Close]]&gt;Table2[[#This Row],[Open]],"profite","loss")</f>
        <v>loss</v>
      </c>
    </row>
    <row r="113" spans="1:16" x14ac:dyDescent="0.3">
      <c r="A113" s="1">
        <v>35523</v>
      </c>
      <c r="B113">
        <v>52.945549</v>
      </c>
      <c r="C113">
        <v>53.243232999999996</v>
      </c>
      <c r="D113">
        <v>51.563426999999997</v>
      </c>
      <c r="E113">
        <v>51.861117999999998</v>
      </c>
      <c r="F113">
        <v>13.655154</v>
      </c>
      <c r="G113">
        <v>3264813</v>
      </c>
      <c r="O113" s="8" t="str">
        <f t="shared" si="1"/>
        <v>Loss</v>
      </c>
      <c r="P113" s="6" t="str">
        <f>IF(Table2[[#This Row],[Close]]&gt;Table2[[#This Row],[Open]],"profite","loss")</f>
        <v>loss</v>
      </c>
    </row>
    <row r="114" spans="1:16" x14ac:dyDescent="0.3">
      <c r="A114" s="1">
        <v>35524</v>
      </c>
      <c r="B114">
        <v>52.201385000000002</v>
      </c>
      <c r="C114">
        <v>52.924332</v>
      </c>
      <c r="D114">
        <v>51.882407999999998</v>
      </c>
      <c r="E114">
        <v>52.669159000000001</v>
      </c>
      <c r="F114">
        <v>13.867910999999999</v>
      </c>
      <c r="G114">
        <v>2372715</v>
      </c>
      <c r="O114" s="8" t="str">
        <f t="shared" si="1"/>
        <v>Profit</v>
      </c>
      <c r="P114" s="5" t="str">
        <f>IF(Table2[[#This Row],[Close]]&gt;Table2[[#This Row],[Open]],"profite","loss")</f>
        <v>profite</v>
      </c>
    </row>
    <row r="115" spans="1:16" x14ac:dyDescent="0.3">
      <c r="A115" s="1">
        <v>35527</v>
      </c>
      <c r="B115">
        <v>53.498412999999999</v>
      </c>
      <c r="C115">
        <v>55.263289999999998</v>
      </c>
      <c r="D115">
        <v>53.455910000000003</v>
      </c>
      <c r="E115">
        <v>55.263289999999998</v>
      </c>
      <c r="F115">
        <v>14.550951</v>
      </c>
      <c r="G115">
        <v>2287954</v>
      </c>
      <c r="O115" s="8" t="str">
        <f t="shared" si="1"/>
        <v>Profit</v>
      </c>
      <c r="P115" s="6" t="str">
        <f>IF(Table2[[#This Row],[Close]]&gt;Table2[[#This Row],[Open]],"profite","loss")</f>
        <v>profite</v>
      </c>
    </row>
    <row r="116" spans="1:16" x14ac:dyDescent="0.3">
      <c r="A116" s="1">
        <v>35528</v>
      </c>
      <c r="B116">
        <v>55.454681000000001</v>
      </c>
      <c r="C116">
        <v>55.943741000000003</v>
      </c>
      <c r="D116">
        <v>54.221359</v>
      </c>
      <c r="E116">
        <v>54.47654</v>
      </c>
      <c r="F116">
        <v>14.343802</v>
      </c>
      <c r="G116">
        <v>1654949</v>
      </c>
      <c r="O116" s="8" t="str">
        <f t="shared" si="1"/>
        <v>Loss</v>
      </c>
      <c r="P116" s="5" t="str">
        <f>IF(Table2[[#This Row],[Close]]&gt;Table2[[#This Row],[Open]],"profite","loss")</f>
        <v>loss</v>
      </c>
    </row>
    <row r="117" spans="1:16" x14ac:dyDescent="0.3">
      <c r="A117" s="1">
        <v>35529</v>
      </c>
      <c r="B117">
        <v>55.156993999999997</v>
      </c>
      <c r="C117">
        <v>55.645977000000002</v>
      </c>
      <c r="D117">
        <v>54.646633000000001</v>
      </c>
      <c r="E117">
        <v>54.774231</v>
      </c>
      <c r="F117">
        <v>14.422183</v>
      </c>
      <c r="G117">
        <v>1651943</v>
      </c>
      <c r="O117" s="8" t="str">
        <f t="shared" si="1"/>
        <v>Loss</v>
      </c>
      <c r="P117" s="6" t="str">
        <f>IF(Table2[[#This Row],[Close]]&gt;Table2[[#This Row],[Open]],"profite","loss")</f>
        <v>loss</v>
      </c>
    </row>
    <row r="118" spans="1:16" x14ac:dyDescent="0.3">
      <c r="A118" s="1">
        <v>35530</v>
      </c>
      <c r="B118">
        <v>55.071911</v>
      </c>
      <c r="C118">
        <v>56.092548000000001</v>
      </c>
      <c r="D118">
        <v>54.540332999999997</v>
      </c>
      <c r="E118">
        <v>55.943741000000003</v>
      </c>
      <c r="F118">
        <v>14.730115</v>
      </c>
      <c r="G118">
        <v>2325224</v>
      </c>
      <c r="O118" s="8" t="str">
        <f t="shared" si="1"/>
        <v>Profit</v>
      </c>
      <c r="P118" s="5" t="str">
        <f>IF(Table2[[#This Row],[Close]]&gt;Table2[[#This Row],[Open]],"profite","loss")</f>
        <v>profite</v>
      </c>
    </row>
    <row r="119" spans="1:16" x14ac:dyDescent="0.3">
      <c r="A119" s="1">
        <v>35531</v>
      </c>
      <c r="B119">
        <v>56.560326000000003</v>
      </c>
      <c r="C119">
        <v>58.601601000000002</v>
      </c>
      <c r="D119">
        <v>56.560326000000003</v>
      </c>
      <c r="E119">
        <v>57.623539000000001</v>
      </c>
      <c r="F119">
        <v>15.172415000000001</v>
      </c>
      <c r="G119">
        <v>4835001</v>
      </c>
      <c r="O119" s="8" t="str">
        <f t="shared" si="1"/>
        <v>Profit</v>
      </c>
      <c r="P119" s="6" t="str">
        <f>IF(Table2[[#This Row],[Close]]&gt;Table2[[#This Row],[Open]],"profite","loss")</f>
        <v>profite</v>
      </c>
    </row>
    <row r="120" spans="1:16" x14ac:dyDescent="0.3">
      <c r="A120" s="1">
        <v>35534</v>
      </c>
      <c r="B120">
        <v>56.879299000000003</v>
      </c>
      <c r="C120">
        <v>57.921230000000001</v>
      </c>
      <c r="D120">
        <v>56.517814999999999</v>
      </c>
      <c r="E120">
        <v>57.793633</v>
      </c>
      <c r="F120">
        <v>15.2172</v>
      </c>
      <c r="G120">
        <v>3009928</v>
      </c>
      <c r="O120" s="8" t="str">
        <f t="shared" si="1"/>
        <v>Profit</v>
      </c>
      <c r="P120" s="5" t="str">
        <f>IF(Table2[[#This Row],[Close]]&gt;Table2[[#This Row],[Open]],"profite","loss")</f>
        <v>profite</v>
      </c>
    </row>
    <row r="121" spans="1:16" x14ac:dyDescent="0.3">
      <c r="A121" s="1">
        <v>35535</v>
      </c>
      <c r="B121">
        <v>58.814278000000002</v>
      </c>
      <c r="C121">
        <v>59.239547999999999</v>
      </c>
      <c r="D121">
        <v>57.942431999999997</v>
      </c>
      <c r="E121">
        <v>59.239547999999999</v>
      </c>
      <c r="F121">
        <v>15.597911</v>
      </c>
      <c r="G121">
        <v>2889699</v>
      </c>
      <c r="O121" s="8" t="str">
        <f t="shared" si="1"/>
        <v>Profit</v>
      </c>
      <c r="P121" s="6" t="str">
        <f>IF(Table2[[#This Row],[Close]]&gt;Table2[[#This Row],[Open]],"profite","loss")</f>
        <v>profite</v>
      </c>
    </row>
    <row r="122" spans="1:16" x14ac:dyDescent="0.3">
      <c r="A122" s="1">
        <v>35536</v>
      </c>
      <c r="B122">
        <v>59.239547999999999</v>
      </c>
      <c r="C122">
        <v>59.239547999999999</v>
      </c>
      <c r="D122">
        <v>59.239547999999999</v>
      </c>
      <c r="E122">
        <v>59.239547999999999</v>
      </c>
      <c r="F122">
        <v>15.597911</v>
      </c>
      <c r="G122">
        <v>0</v>
      </c>
      <c r="O122" s="8" t="str">
        <f t="shared" si="1"/>
        <v>No Change</v>
      </c>
      <c r="P122" s="5" t="str">
        <f>IF(Table2[[#This Row],[Close]]&gt;Table2[[#This Row],[Open]],"profite","loss")</f>
        <v>loss</v>
      </c>
    </row>
    <row r="123" spans="1:16" x14ac:dyDescent="0.3">
      <c r="A123" s="1">
        <v>35537</v>
      </c>
      <c r="B123">
        <v>57.410862000000002</v>
      </c>
      <c r="C123">
        <v>57.410862000000002</v>
      </c>
      <c r="D123">
        <v>55.773575000000001</v>
      </c>
      <c r="E123">
        <v>56.283935999999997</v>
      </c>
      <c r="F123">
        <v>14.819692</v>
      </c>
      <c r="G123">
        <v>4526013</v>
      </c>
      <c r="O123" s="8" t="str">
        <f t="shared" si="1"/>
        <v>Loss</v>
      </c>
      <c r="P123" s="6" t="str">
        <f>IF(Table2[[#This Row],[Close]]&gt;Table2[[#This Row],[Open]],"profite","loss")</f>
        <v>loss</v>
      </c>
    </row>
    <row r="124" spans="1:16" x14ac:dyDescent="0.3">
      <c r="A124" s="1">
        <v>35538</v>
      </c>
      <c r="B124">
        <v>56.454025000000001</v>
      </c>
      <c r="C124">
        <v>56.560326000000003</v>
      </c>
      <c r="D124">
        <v>55.369587000000003</v>
      </c>
      <c r="E124">
        <v>55.454681000000001</v>
      </c>
      <c r="F124">
        <v>14.601345999999999</v>
      </c>
      <c r="G124">
        <v>1921256</v>
      </c>
      <c r="O124" s="8" t="str">
        <f t="shared" si="1"/>
        <v>Loss</v>
      </c>
      <c r="P124" s="5" t="str">
        <f>IF(Table2[[#This Row],[Close]]&gt;Table2[[#This Row],[Open]],"profite","loss")</f>
        <v>loss</v>
      </c>
    </row>
    <row r="125" spans="1:16" x14ac:dyDescent="0.3">
      <c r="A125" s="1">
        <v>35541</v>
      </c>
      <c r="B125">
        <v>55.071911</v>
      </c>
      <c r="C125">
        <v>55.071911</v>
      </c>
      <c r="D125">
        <v>52.945549</v>
      </c>
      <c r="E125">
        <v>53.987479999999998</v>
      </c>
      <c r="F125">
        <v>14.215032000000001</v>
      </c>
      <c r="G125">
        <v>3018945</v>
      </c>
      <c r="O125" s="8" t="str">
        <f t="shared" si="1"/>
        <v>Loss</v>
      </c>
      <c r="P125" s="6" t="str">
        <f>IF(Table2[[#This Row],[Close]]&gt;Table2[[#This Row],[Open]],"profite","loss")</f>
        <v>loss</v>
      </c>
    </row>
    <row r="126" spans="1:16" x14ac:dyDescent="0.3">
      <c r="A126" s="1">
        <v>35542</v>
      </c>
      <c r="B126">
        <v>53.966178999999997</v>
      </c>
      <c r="C126">
        <v>55.029411000000003</v>
      </c>
      <c r="D126">
        <v>53.796084999999998</v>
      </c>
      <c r="E126">
        <v>54.391460000000002</v>
      </c>
      <c r="F126">
        <v>14.321400000000001</v>
      </c>
      <c r="G126">
        <v>2455072</v>
      </c>
      <c r="O126" s="8" t="str">
        <f t="shared" si="1"/>
        <v>Profit</v>
      </c>
      <c r="P126" s="5" t="str">
        <f>IF(Table2[[#This Row],[Close]]&gt;Table2[[#This Row],[Open]],"profite","loss")</f>
        <v>profite</v>
      </c>
    </row>
    <row r="127" spans="1:16" x14ac:dyDescent="0.3">
      <c r="A127" s="1">
        <v>35543</v>
      </c>
      <c r="B127">
        <v>55.560982000000003</v>
      </c>
      <c r="C127">
        <v>55.560982000000003</v>
      </c>
      <c r="D127">
        <v>54.136364</v>
      </c>
      <c r="E127">
        <v>54.306454000000002</v>
      </c>
      <c r="F127">
        <v>14.299018</v>
      </c>
      <c r="G127">
        <v>991887</v>
      </c>
      <c r="O127" s="8" t="str">
        <f t="shared" si="1"/>
        <v>Loss</v>
      </c>
      <c r="P127" s="6" t="str">
        <f>IF(Table2[[#This Row],[Close]]&gt;Table2[[#This Row],[Open]],"profite","loss")</f>
        <v>loss</v>
      </c>
    </row>
    <row r="128" spans="1:16" x14ac:dyDescent="0.3">
      <c r="A128" s="1">
        <v>35544</v>
      </c>
      <c r="B128">
        <v>54.434035999999999</v>
      </c>
      <c r="C128">
        <v>54.838017000000001</v>
      </c>
      <c r="D128">
        <v>54.115062999999999</v>
      </c>
      <c r="E128">
        <v>54.391460000000002</v>
      </c>
      <c r="F128">
        <v>14.321400000000001</v>
      </c>
      <c r="G128">
        <v>1793813</v>
      </c>
      <c r="O128" s="8" t="str">
        <f t="shared" si="1"/>
        <v>Loss</v>
      </c>
      <c r="P128" s="5" t="str">
        <f>IF(Table2[[#This Row],[Close]]&gt;Table2[[#This Row],[Open]],"profite","loss")</f>
        <v>loss</v>
      </c>
    </row>
    <row r="129" spans="1:16" x14ac:dyDescent="0.3">
      <c r="A129" s="1">
        <v>35545</v>
      </c>
      <c r="B129">
        <v>54.434035999999999</v>
      </c>
      <c r="C129">
        <v>54.306454000000002</v>
      </c>
      <c r="D129">
        <v>53.796084999999998</v>
      </c>
      <c r="E129">
        <v>53.796084999999998</v>
      </c>
      <c r="F129">
        <v>14.164634</v>
      </c>
      <c r="G129">
        <v>428615</v>
      </c>
      <c r="O129" s="8" t="str">
        <f t="shared" si="1"/>
        <v>Loss</v>
      </c>
      <c r="P129" s="6" t="str">
        <f>IF(Table2[[#This Row],[Close]]&gt;Table2[[#This Row],[Open]],"profite","loss")</f>
        <v>loss</v>
      </c>
    </row>
    <row r="130" spans="1:16" x14ac:dyDescent="0.3">
      <c r="A130" s="1">
        <v>35548</v>
      </c>
      <c r="B130">
        <v>54.221359</v>
      </c>
      <c r="C130">
        <v>54.47654</v>
      </c>
      <c r="D130">
        <v>53.881183999999998</v>
      </c>
      <c r="E130">
        <v>54.221359</v>
      </c>
      <c r="F130">
        <v>14.276608</v>
      </c>
      <c r="G130">
        <v>884282</v>
      </c>
      <c r="O130" s="8" t="str">
        <f t="shared" si="1"/>
        <v>No Change</v>
      </c>
      <c r="P130" s="5" t="str">
        <f>IF(Table2[[#This Row],[Close]]&gt;Table2[[#This Row],[Open]],"profite","loss")</f>
        <v>loss</v>
      </c>
    </row>
    <row r="131" spans="1:16" x14ac:dyDescent="0.3">
      <c r="A131" s="1">
        <v>35549</v>
      </c>
      <c r="B131">
        <v>54.646633000000001</v>
      </c>
      <c r="C131">
        <v>54.859318000000002</v>
      </c>
      <c r="D131">
        <v>54.029983999999999</v>
      </c>
      <c r="E131">
        <v>54.391460000000002</v>
      </c>
      <c r="F131">
        <v>14.321400000000001</v>
      </c>
      <c r="G131">
        <v>1416896</v>
      </c>
      <c r="O131" s="8" t="str">
        <f t="shared" ref="O131:O194" si="2">IF(E131&gt;B131,"Profit",IF(E131&lt;B131,"Loss","No Change"))</f>
        <v>Loss</v>
      </c>
      <c r="P131" s="6" t="str">
        <f>IF(Table2[[#This Row],[Close]]&gt;Table2[[#This Row],[Open]],"profite","loss")</f>
        <v>loss</v>
      </c>
    </row>
    <row r="132" spans="1:16" x14ac:dyDescent="0.3">
      <c r="A132" s="1">
        <v>35550</v>
      </c>
      <c r="B132">
        <v>55.071911</v>
      </c>
      <c r="C132">
        <v>55.071911</v>
      </c>
      <c r="D132">
        <v>54.327655999999998</v>
      </c>
      <c r="E132">
        <v>54.540332999999997</v>
      </c>
      <c r="F132">
        <v>14.360597</v>
      </c>
      <c r="G132">
        <v>1567783</v>
      </c>
      <c r="O132" s="8" t="str">
        <f t="shared" si="2"/>
        <v>Loss</v>
      </c>
      <c r="P132" s="5" t="str">
        <f>IF(Table2[[#This Row],[Close]]&gt;Table2[[#This Row],[Open]],"profite","loss")</f>
        <v>loss</v>
      </c>
    </row>
    <row r="133" spans="1:16" x14ac:dyDescent="0.3">
      <c r="A133" s="1">
        <v>35551</v>
      </c>
      <c r="B133">
        <v>54.540332999999997</v>
      </c>
      <c r="C133">
        <v>54.540332999999997</v>
      </c>
      <c r="D133">
        <v>54.540332999999997</v>
      </c>
      <c r="E133">
        <v>54.540332999999997</v>
      </c>
      <c r="F133">
        <v>14.360597</v>
      </c>
      <c r="G133">
        <v>0</v>
      </c>
      <c r="O133" s="8" t="str">
        <f t="shared" si="2"/>
        <v>No Change</v>
      </c>
      <c r="P133" s="6" t="str">
        <f>IF(Table2[[#This Row],[Close]]&gt;Table2[[#This Row],[Open]],"profite","loss")</f>
        <v>loss</v>
      </c>
    </row>
    <row r="134" spans="1:16" x14ac:dyDescent="0.3">
      <c r="A134" s="1">
        <v>35552</v>
      </c>
      <c r="B134">
        <v>54.795524999999998</v>
      </c>
      <c r="C134">
        <v>57.240775999999997</v>
      </c>
      <c r="D134">
        <v>56.028754999999997</v>
      </c>
      <c r="E134">
        <v>57.155681999999999</v>
      </c>
      <c r="F134">
        <v>15.049226000000001</v>
      </c>
      <c r="G134">
        <v>1224530</v>
      </c>
      <c r="O134" s="8" t="str">
        <f t="shared" si="2"/>
        <v>Profit</v>
      </c>
      <c r="P134" s="5" t="str">
        <f>IF(Table2[[#This Row],[Close]]&gt;Table2[[#This Row],[Open]],"profite","loss")</f>
        <v>profite</v>
      </c>
    </row>
    <row r="135" spans="1:16" x14ac:dyDescent="0.3">
      <c r="A135" s="1">
        <v>35555</v>
      </c>
      <c r="B135">
        <v>57.836136000000003</v>
      </c>
      <c r="C135">
        <v>58.601601000000002</v>
      </c>
      <c r="D135">
        <v>57.580952000000003</v>
      </c>
      <c r="E135">
        <v>58.346420000000002</v>
      </c>
      <c r="F135">
        <v>15.362753</v>
      </c>
      <c r="G135">
        <v>2768268</v>
      </c>
      <c r="O135" s="8" t="str">
        <f t="shared" si="2"/>
        <v>Profit</v>
      </c>
      <c r="P135" s="6" t="str">
        <f>IF(Table2[[#This Row],[Close]]&gt;Table2[[#This Row],[Open]],"profite","loss")</f>
        <v>profite</v>
      </c>
    </row>
    <row r="136" spans="1:16" x14ac:dyDescent="0.3">
      <c r="A136" s="1">
        <v>35556</v>
      </c>
      <c r="B136">
        <v>58.516585999999997</v>
      </c>
      <c r="C136">
        <v>58.792976000000003</v>
      </c>
      <c r="D136">
        <v>56.432727999999997</v>
      </c>
      <c r="E136">
        <v>56.858006000000003</v>
      </c>
      <c r="F136">
        <v>14.970846</v>
      </c>
      <c r="G136">
        <v>2636617</v>
      </c>
      <c r="O136" s="8" t="str">
        <f t="shared" si="2"/>
        <v>Loss</v>
      </c>
      <c r="P136" s="5" t="str">
        <f>IF(Table2[[#This Row],[Close]]&gt;Table2[[#This Row],[Open]],"profite","loss")</f>
        <v>loss</v>
      </c>
    </row>
    <row r="137" spans="1:16" x14ac:dyDescent="0.3">
      <c r="A137" s="1">
        <v>35557</v>
      </c>
      <c r="B137">
        <v>56.921802999999997</v>
      </c>
      <c r="C137">
        <v>57.283279</v>
      </c>
      <c r="D137">
        <v>55.922459000000003</v>
      </c>
      <c r="E137">
        <v>56.560326000000003</v>
      </c>
      <c r="F137">
        <v>14.892467</v>
      </c>
      <c r="G137">
        <v>1501657</v>
      </c>
      <c r="O137" s="8" t="str">
        <f t="shared" si="2"/>
        <v>Loss</v>
      </c>
      <c r="P137" s="6" t="str">
        <f>IF(Table2[[#This Row],[Close]]&gt;Table2[[#This Row],[Open]],"profite","loss")</f>
        <v>loss</v>
      </c>
    </row>
    <row r="138" spans="1:16" x14ac:dyDescent="0.3">
      <c r="A138" s="1">
        <v>35558</v>
      </c>
      <c r="B138">
        <v>56.560326000000003</v>
      </c>
      <c r="C138">
        <v>56.560326000000003</v>
      </c>
      <c r="D138">
        <v>56.560326000000003</v>
      </c>
      <c r="E138">
        <v>56.560326000000003</v>
      </c>
      <c r="F138">
        <v>14.892467</v>
      </c>
      <c r="G138">
        <v>0</v>
      </c>
      <c r="O138" s="8" t="str">
        <f t="shared" si="2"/>
        <v>No Change</v>
      </c>
      <c r="P138" s="5" t="str">
        <f>IF(Table2[[#This Row],[Close]]&gt;Table2[[#This Row],[Open]],"profite","loss")</f>
        <v>loss</v>
      </c>
    </row>
    <row r="139" spans="1:16" x14ac:dyDescent="0.3">
      <c r="A139" s="1">
        <v>35559</v>
      </c>
      <c r="B139">
        <v>56.347729000000001</v>
      </c>
      <c r="C139">
        <v>57.623539000000001</v>
      </c>
      <c r="D139">
        <v>56.007454000000003</v>
      </c>
      <c r="E139">
        <v>57.176983</v>
      </c>
      <c r="F139">
        <v>15.054831999999999</v>
      </c>
      <c r="G139">
        <v>2999708</v>
      </c>
      <c r="O139" s="8" t="str">
        <f t="shared" si="2"/>
        <v>Profit</v>
      </c>
      <c r="P139" s="6" t="str">
        <f>IF(Table2[[#This Row],[Close]]&gt;Table2[[#This Row],[Open]],"profite","loss")</f>
        <v>profite</v>
      </c>
    </row>
    <row r="140" spans="1:16" x14ac:dyDescent="0.3">
      <c r="A140" s="1">
        <v>35562</v>
      </c>
      <c r="B140">
        <v>57.325867000000002</v>
      </c>
      <c r="C140">
        <v>58.133823</v>
      </c>
      <c r="D140">
        <v>56.773003000000003</v>
      </c>
      <c r="E140">
        <v>57.623539000000001</v>
      </c>
      <c r="F140">
        <v>15.172415000000001</v>
      </c>
      <c r="G140">
        <v>1665168</v>
      </c>
      <c r="O140" s="8" t="str">
        <f t="shared" si="2"/>
        <v>Profit</v>
      </c>
      <c r="P140" s="5" t="str">
        <f>IF(Table2[[#This Row],[Close]]&gt;Table2[[#This Row],[Open]],"profite","loss")</f>
        <v>profite</v>
      </c>
    </row>
    <row r="141" spans="1:16" x14ac:dyDescent="0.3">
      <c r="A141" s="1">
        <v>35563</v>
      </c>
      <c r="B141">
        <v>57.942431999999997</v>
      </c>
      <c r="C141">
        <v>58.410206000000002</v>
      </c>
      <c r="D141">
        <v>56.539116</v>
      </c>
      <c r="E141">
        <v>56.560326000000003</v>
      </c>
      <c r="F141">
        <v>14.892467</v>
      </c>
      <c r="G141">
        <v>1973555</v>
      </c>
      <c r="O141" s="8" t="str">
        <f t="shared" si="2"/>
        <v>Loss</v>
      </c>
      <c r="P141" s="6" t="str">
        <f>IF(Table2[[#This Row],[Close]]&gt;Table2[[#This Row],[Open]],"profite","loss")</f>
        <v>loss</v>
      </c>
    </row>
    <row r="142" spans="1:16" x14ac:dyDescent="0.3">
      <c r="A142" s="1">
        <v>35564</v>
      </c>
      <c r="B142">
        <v>56.794204999999998</v>
      </c>
      <c r="C142">
        <v>57.474654999999998</v>
      </c>
      <c r="D142">
        <v>56.773003000000003</v>
      </c>
      <c r="E142">
        <v>57.198264999999999</v>
      </c>
      <c r="F142">
        <v>15.060439000000001</v>
      </c>
      <c r="G142">
        <v>1431925</v>
      </c>
      <c r="O142" s="8" t="str">
        <f t="shared" si="2"/>
        <v>Profit</v>
      </c>
      <c r="P142" s="5" t="str">
        <f>IF(Table2[[#This Row],[Close]]&gt;Table2[[#This Row],[Open]],"profite","loss")</f>
        <v>profite</v>
      </c>
    </row>
    <row r="143" spans="1:16" x14ac:dyDescent="0.3">
      <c r="A143" s="1">
        <v>35565</v>
      </c>
      <c r="B143">
        <v>56.985596000000001</v>
      </c>
      <c r="C143">
        <v>57.304564999999997</v>
      </c>
      <c r="D143">
        <v>56.645412</v>
      </c>
      <c r="E143">
        <v>57.006881999999997</v>
      </c>
      <c r="F143">
        <v>15.010045</v>
      </c>
      <c r="G143">
        <v>994893</v>
      </c>
      <c r="O143" s="8" t="str">
        <f t="shared" si="2"/>
        <v>Profit</v>
      </c>
      <c r="P143" s="6" t="str">
        <f>IF(Table2[[#This Row],[Close]]&gt;Table2[[#This Row],[Open]],"profite","loss")</f>
        <v>profite</v>
      </c>
    </row>
    <row r="144" spans="1:16" x14ac:dyDescent="0.3">
      <c r="A144" s="1">
        <v>35566</v>
      </c>
      <c r="B144">
        <v>57.091892000000001</v>
      </c>
      <c r="C144">
        <v>57.495956</v>
      </c>
      <c r="D144">
        <v>56.560326000000003</v>
      </c>
      <c r="E144">
        <v>56.602825000000003</v>
      </c>
      <c r="F144">
        <v>14.90366</v>
      </c>
      <c r="G144">
        <v>1687411</v>
      </c>
      <c r="O144" s="8" t="str">
        <f t="shared" si="2"/>
        <v>Loss</v>
      </c>
      <c r="P144" s="5" t="str">
        <f>IF(Table2[[#This Row],[Close]]&gt;Table2[[#This Row],[Open]],"profite","loss")</f>
        <v>loss</v>
      </c>
    </row>
    <row r="145" spans="1:16" x14ac:dyDescent="0.3">
      <c r="A145" s="1">
        <v>35569</v>
      </c>
      <c r="B145">
        <v>56.602825000000003</v>
      </c>
      <c r="C145">
        <v>56.602825000000003</v>
      </c>
      <c r="D145">
        <v>56.602825000000003</v>
      </c>
      <c r="E145">
        <v>56.602825000000003</v>
      </c>
      <c r="F145">
        <v>14.90366</v>
      </c>
      <c r="G145">
        <v>0</v>
      </c>
      <c r="O145" s="8" t="str">
        <f t="shared" si="2"/>
        <v>No Change</v>
      </c>
      <c r="P145" s="6" t="str">
        <f>IF(Table2[[#This Row],[Close]]&gt;Table2[[#This Row],[Open]],"profite","loss")</f>
        <v>loss</v>
      </c>
    </row>
    <row r="146" spans="1:16" x14ac:dyDescent="0.3">
      <c r="A146" s="1">
        <v>35570</v>
      </c>
      <c r="B146">
        <v>56.560326000000003</v>
      </c>
      <c r="C146">
        <v>56.560326000000003</v>
      </c>
      <c r="D146">
        <v>55.624775</v>
      </c>
      <c r="E146">
        <v>56.050037000000003</v>
      </c>
      <c r="F146">
        <v>14.758106</v>
      </c>
      <c r="G146">
        <v>1357383</v>
      </c>
      <c r="O146" s="8" t="str">
        <f t="shared" si="2"/>
        <v>Loss</v>
      </c>
      <c r="P146" s="5" t="str">
        <f>IF(Table2[[#This Row],[Close]]&gt;Table2[[#This Row],[Open]],"profite","loss")</f>
        <v>loss</v>
      </c>
    </row>
    <row r="147" spans="1:16" x14ac:dyDescent="0.3">
      <c r="A147" s="1">
        <v>35571</v>
      </c>
      <c r="B147">
        <v>56.220131000000002</v>
      </c>
      <c r="C147">
        <v>57.176983</v>
      </c>
      <c r="D147">
        <v>55.220787000000001</v>
      </c>
      <c r="E147">
        <v>56.007454000000003</v>
      </c>
      <c r="F147">
        <v>14.74689</v>
      </c>
      <c r="G147">
        <v>3660365</v>
      </c>
      <c r="O147" s="8" t="str">
        <f t="shared" si="2"/>
        <v>Loss</v>
      </c>
      <c r="P147" s="6" t="str">
        <f>IF(Table2[[#This Row],[Close]]&gt;Table2[[#This Row],[Open]],"profite","loss")</f>
        <v>loss</v>
      </c>
    </row>
    <row r="148" spans="1:16" x14ac:dyDescent="0.3">
      <c r="A148" s="1">
        <v>35572</v>
      </c>
      <c r="B148">
        <v>55.879955000000002</v>
      </c>
      <c r="C148">
        <v>56.432727999999997</v>
      </c>
      <c r="D148">
        <v>55.284508000000002</v>
      </c>
      <c r="E148">
        <v>55.986252</v>
      </c>
      <c r="F148">
        <v>14.74131</v>
      </c>
      <c r="G148">
        <v>2075149</v>
      </c>
      <c r="O148" s="8" t="str">
        <f t="shared" si="2"/>
        <v>Profit</v>
      </c>
      <c r="P148" s="5" t="str">
        <f>IF(Table2[[#This Row],[Close]]&gt;Table2[[#This Row],[Open]],"profite","loss")</f>
        <v>profite</v>
      </c>
    </row>
    <row r="149" spans="1:16" x14ac:dyDescent="0.3">
      <c r="A149" s="1">
        <v>35573</v>
      </c>
      <c r="B149">
        <v>56.092548000000001</v>
      </c>
      <c r="C149">
        <v>56.794204999999998</v>
      </c>
      <c r="D149">
        <v>56.454025000000001</v>
      </c>
      <c r="E149">
        <v>56.517814999999999</v>
      </c>
      <c r="F149">
        <v>14.881269</v>
      </c>
      <c r="G149">
        <v>413587</v>
      </c>
      <c r="O149" s="8" t="str">
        <f t="shared" si="2"/>
        <v>Profit</v>
      </c>
      <c r="P149" s="6" t="str">
        <f>IF(Table2[[#This Row],[Close]]&gt;Table2[[#This Row],[Open]],"profite","loss")</f>
        <v>profite</v>
      </c>
    </row>
    <row r="150" spans="1:16" x14ac:dyDescent="0.3">
      <c r="A150" s="1">
        <v>35576</v>
      </c>
      <c r="B150">
        <v>56.560326000000003</v>
      </c>
      <c r="C150">
        <v>57.198264999999999</v>
      </c>
      <c r="D150">
        <v>55.986252</v>
      </c>
      <c r="E150">
        <v>57.028098999999997</v>
      </c>
      <c r="F150">
        <v>15.015632999999999</v>
      </c>
      <c r="G150">
        <v>1818460</v>
      </c>
      <c r="O150" s="8" t="str">
        <f t="shared" si="2"/>
        <v>Profit</v>
      </c>
      <c r="P150" s="5" t="str">
        <f>IF(Table2[[#This Row],[Close]]&gt;Table2[[#This Row],[Open]],"profite","loss")</f>
        <v>profite</v>
      </c>
    </row>
    <row r="151" spans="1:16" x14ac:dyDescent="0.3">
      <c r="A151" s="1">
        <v>35577</v>
      </c>
      <c r="B151">
        <v>57.070686000000002</v>
      </c>
      <c r="C151">
        <v>58.133823</v>
      </c>
      <c r="D151">
        <v>56.985596000000001</v>
      </c>
      <c r="E151">
        <v>57.878642999999997</v>
      </c>
      <c r="F151">
        <v>15.239583</v>
      </c>
      <c r="G151">
        <v>2664270</v>
      </c>
      <c r="O151" s="8" t="str">
        <f t="shared" si="2"/>
        <v>Profit</v>
      </c>
      <c r="P151" s="6" t="str">
        <f>IF(Table2[[#This Row],[Close]]&gt;Table2[[#This Row],[Open]],"profite","loss")</f>
        <v>profite</v>
      </c>
    </row>
    <row r="152" spans="1:16" x14ac:dyDescent="0.3">
      <c r="A152" s="1">
        <v>35578</v>
      </c>
      <c r="B152">
        <v>58.389004</v>
      </c>
      <c r="C152">
        <v>58.091312000000002</v>
      </c>
      <c r="D152">
        <v>56.773003000000003</v>
      </c>
      <c r="E152">
        <v>56.943085000000004</v>
      </c>
      <c r="F152">
        <v>14.993245999999999</v>
      </c>
      <c r="G152">
        <v>899311</v>
      </c>
      <c r="O152" s="8" t="str">
        <f t="shared" si="2"/>
        <v>Loss</v>
      </c>
      <c r="P152" s="5" t="str">
        <f>IF(Table2[[#This Row],[Close]]&gt;Table2[[#This Row],[Open]],"profite","loss")</f>
        <v>loss</v>
      </c>
    </row>
    <row r="153" spans="1:16" x14ac:dyDescent="0.3">
      <c r="A153" s="1">
        <v>35579</v>
      </c>
      <c r="B153">
        <v>56.581608000000003</v>
      </c>
      <c r="C153">
        <v>57.410862000000002</v>
      </c>
      <c r="D153">
        <v>56.581608000000003</v>
      </c>
      <c r="E153">
        <v>56.985596000000001</v>
      </c>
      <c r="F153">
        <v>15.004436999999999</v>
      </c>
      <c r="G153">
        <v>66726</v>
      </c>
      <c r="O153" s="8" t="str">
        <f t="shared" si="2"/>
        <v>Profit</v>
      </c>
      <c r="P153" s="6" t="str">
        <f>IF(Table2[[#This Row],[Close]]&gt;Table2[[#This Row],[Open]],"profite","loss")</f>
        <v>profite</v>
      </c>
    </row>
    <row r="154" spans="1:16" x14ac:dyDescent="0.3">
      <c r="A154" s="1">
        <v>35580</v>
      </c>
      <c r="B154">
        <v>56.985596000000001</v>
      </c>
      <c r="C154">
        <v>57.410862000000002</v>
      </c>
      <c r="D154">
        <v>55.964958000000003</v>
      </c>
      <c r="E154">
        <v>56.198849000000003</v>
      </c>
      <c r="F154">
        <v>14.797291</v>
      </c>
      <c r="G154">
        <v>72137</v>
      </c>
      <c r="O154" s="8" t="str">
        <f t="shared" si="2"/>
        <v>Loss</v>
      </c>
      <c r="P154" s="5" t="str">
        <f>IF(Table2[[#This Row],[Close]]&gt;Table2[[#This Row],[Open]],"profite","loss")</f>
        <v>loss</v>
      </c>
    </row>
    <row r="155" spans="1:16" x14ac:dyDescent="0.3">
      <c r="A155" s="1">
        <v>35583</v>
      </c>
      <c r="B155">
        <v>55.922459000000003</v>
      </c>
      <c r="C155">
        <v>57.198264999999999</v>
      </c>
      <c r="D155">
        <v>55.922459000000003</v>
      </c>
      <c r="E155">
        <v>56.751708999999998</v>
      </c>
      <c r="F155">
        <v>14.942856000000001</v>
      </c>
      <c r="G155">
        <v>1216715</v>
      </c>
      <c r="O155" s="8" t="str">
        <f t="shared" si="2"/>
        <v>Profit</v>
      </c>
      <c r="P155" s="6" t="str">
        <f>IF(Table2[[#This Row],[Close]]&gt;Table2[[#This Row],[Open]],"profite","loss")</f>
        <v>profite</v>
      </c>
    </row>
    <row r="156" spans="1:16" x14ac:dyDescent="0.3">
      <c r="A156" s="1">
        <v>35584</v>
      </c>
      <c r="B156">
        <v>56.751708999999998</v>
      </c>
      <c r="C156">
        <v>57.198264999999999</v>
      </c>
      <c r="D156">
        <v>56.687904000000003</v>
      </c>
      <c r="E156">
        <v>57.176983</v>
      </c>
      <c r="F156">
        <v>15.054831999999999</v>
      </c>
      <c r="G156">
        <v>876467</v>
      </c>
      <c r="O156" s="8" t="str">
        <f t="shared" si="2"/>
        <v>Profit</v>
      </c>
      <c r="P156" s="5" t="str">
        <f>IF(Table2[[#This Row],[Close]]&gt;Table2[[#This Row],[Open]],"profite","loss")</f>
        <v>profite</v>
      </c>
    </row>
    <row r="157" spans="1:16" x14ac:dyDescent="0.3">
      <c r="A157" s="1">
        <v>35585</v>
      </c>
      <c r="B157">
        <v>57.325867000000002</v>
      </c>
      <c r="C157">
        <v>57.793633</v>
      </c>
      <c r="D157">
        <v>56.879299000000003</v>
      </c>
      <c r="E157">
        <v>56.985596000000001</v>
      </c>
      <c r="F157">
        <v>15.004436999999999</v>
      </c>
      <c r="G157">
        <v>1120532</v>
      </c>
      <c r="O157" s="8" t="str">
        <f t="shared" si="2"/>
        <v>Loss</v>
      </c>
      <c r="P157" s="6" t="str">
        <f>IF(Table2[[#This Row],[Close]]&gt;Table2[[#This Row],[Open]],"profite","loss")</f>
        <v>loss</v>
      </c>
    </row>
    <row r="158" spans="1:16" x14ac:dyDescent="0.3">
      <c r="A158" s="1">
        <v>35586</v>
      </c>
      <c r="B158">
        <v>56.794204999999998</v>
      </c>
      <c r="C158">
        <v>57.772345999999999</v>
      </c>
      <c r="D158">
        <v>57.283279</v>
      </c>
      <c r="E158">
        <v>57.432163000000003</v>
      </c>
      <c r="F158">
        <v>15.122025000000001</v>
      </c>
      <c r="G158">
        <v>321010</v>
      </c>
      <c r="O158" s="8" t="str">
        <f t="shared" si="2"/>
        <v>Profit</v>
      </c>
      <c r="P158" s="5" t="str">
        <f>IF(Table2[[#This Row],[Close]]&gt;Table2[[#This Row],[Open]],"profite","loss")</f>
        <v>profite</v>
      </c>
    </row>
    <row r="159" spans="1:16" x14ac:dyDescent="0.3">
      <c r="A159" s="1">
        <v>35587</v>
      </c>
      <c r="B159">
        <v>58.027526999999999</v>
      </c>
      <c r="C159">
        <v>58.389004</v>
      </c>
      <c r="D159">
        <v>57.495956</v>
      </c>
      <c r="E159">
        <v>58.133823</v>
      </c>
      <c r="F159">
        <v>15.30677</v>
      </c>
      <c r="G159">
        <v>1926065</v>
      </c>
      <c r="O159" s="8" t="str">
        <f t="shared" si="2"/>
        <v>Profit</v>
      </c>
      <c r="P159" s="6" t="str">
        <f>IF(Table2[[#This Row],[Close]]&gt;Table2[[#This Row],[Open]],"profite","loss")</f>
        <v>profite</v>
      </c>
    </row>
    <row r="160" spans="1:16" x14ac:dyDescent="0.3">
      <c r="A160" s="1">
        <v>35590</v>
      </c>
      <c r="B160">
        <v>58.346420000000002</v>
      </c>
      <c r="C160">
        <v>58.4953</v>
      </c>
      <c r="D160">
        <v>57.113177999999998</v>
      </c>
      <c r="E160">
        <v>57.155681999999999</v>
      </c>
      <c r="F160">
        <v>15.049226000000001</v>
      </c>
      <c r="G160">
        <v>1608661</v>
      </c>
      <c r="O160" s="8" t="str">
        <f t="shared" si="2"/>
        <v>Loss</v>
      </c>
      <c r="P160" s="5" t="str">
        <f>IF(Table2[[#This Row],[Close]]&gt;Table2[[#This Row],[Open]],"profite","loss")</f>
        <v>loss</v>
      </c>
    </row>
    <row r="161" spans="1:16" x14ac:dyDescent="0.3">
      <c r="A161" s="1">
        <v>35591</v>
      </c>
      <c r="B161">
        <v>57.559753000000001</v>
      </c>
      <c r="C161">
        <v>57.666049999999998</v>
      </c>
      <c r="D161">
        <v>57.325867000000002</v>
      </c>
      <c r="E161">
        <v>57.410862000000002</v>
      </c>
      <c r="F161">
        <v>15.116415</v>
      </c>
      <c r="G161">
        <v>400361</v>
      </c>
      <c r="O161" s="8" t="str">
        <f t="shared" si="2"/>
        <v>Loss</v>
      </c>
      <c r="P161" s="6" t="str">
        <f>IF(Table2[[#This Row],[Close]]&gt;Table2[[#This Row],[Open]],"profite","loss")</f>
        <v>loss</v>
      </c>
    </row>
    <row r="162" spans="1:16" x14ac:dyDescent="0.3">
      <c r="A162" s="1">
        <v>35592</v>
      </c>
      <c r="B162">
        <v>57.495956</v>
      </c>
      <c r="C162">
        <v>57.687252000000001</v>
      </c>
      <c r="D162">
        <v>57.262062</v>
      </c>
      <c r="E162">
        <v>57.368358999999998</v>
      </c>
      <c r="F162">
        <v>15.105224</v>
      </c>
      <c r="G162">
        <v>947402</v>
      </c>
      <c r="O162" s="8" t="str">
        <f t="shared" si="2"/>
        <v>Loss</v>
      </c>
      <c r="P162" s="5" t="str">
        <f>IF(Table2[[#This Row],[Close]]&gt;Table2[[#This Row],[Open]],"profite","loss")</f>
        <v>loss</v>
      </c>
    </row>
    <row r="163" spans="1:16" x14ac:dyDescent="0.3">
      <c r="A163" s="1">
        <v>35593</v>
      </c>
      <c r="B163">
        <v>57.623539000000001</v>
      </c>
      <c r="C163">
        <v>58.346420000000002</v>
      </c>
      <c r="D163">
        <v>57.580952000000003</v>
      </c>
      <c r="E163">
        <v>58.346420000000002</v>
      </c>
      <c r="F163">
        <v>15.362753</v>
      </c>
      <c r="G163">
        <v>1595436</v>
      </c>
      <c r="O163" s="8" t="str">
        <f t="shared" si="2"/>
        <v>Profit</v>
      </c>
      <c r="P163" s="6" t="str">
        <f>IF(Table2[[#This Row],[Close]]&gt;Table2[[#This Row],[Open]],"profite","loss")</f>
        <v>profite</v>
      </c>
    </row>
    <row r="164" spans="1:16" x14ac:dyDescent="0.3">
      <c r="A164" s="1">
        <v>35594</v>
      </c>
      <c r="B164">
        <v>58.686680000000003</v>
      </c>
      <c r="C164">
        <v>58.856777000000001</v>
      </c>
      <c r="D164">
        <v>57.899929</v>
      </c>
      <c r="E164">
        <v>58.431507000000003</v>
      </c>
      <c r="F164">
        <v>15.385153000000001</v>
      </c>
      <c r="G164">
        <v>1762554</v>
      </c>
      <c r="O164" s="8" t="str">
        <f t="shared" si="2"/>
        <v>Loss</v>
      </c>
      <c r="P164" s="5" t="str">
        <f>IF(Table2[[#This Row],[Close]]&gt;Table2[[#This Row],[Open]],"profite","loss")</f>
        <v>loss</v>
      </c>
    </row>
    <row r="165" spans="1:16" x14ac:dyDescent="0.3">
      <c r="A165" s="1">
        <v>35597</v>
      </c>
      <c r="B165">
        <v>58.686680000000003</v>
      </c>
      <c r="C165">
        <v>59.026871</v>
      </c>
      <c r="D165">
        <v>58.325211000000003</v>
      </c>
      <c r="E165">
        <v>58.559097000000001</v>
      </c>
      <c r="F165">
        <v>15.418747</v>
      </c>
      <c r="G165">
        <v>1662764</v>
      </c>
      <c r="O165" s="8" t="str">
        <f t="shared" si="2"/>
        <v>Loss</v>
      </c>
      <c r="P165" s="6" t="str">
        <f>IF(Table2[[#This Row],[Close]]&gt;Table2[[#This Row],[Open]],"profite","loss")</f>
        <v>loss</v>
      </c>
    </row>
    <row r="166" spans="1:16" x14ac:dyDescent="0.3">
      <c r="A166" s="1">
        <v>35598</v>
      </c>
      <c r="B166">
        <v>58.686680000000003</v>
      </c>
      <c r="C166">
        <v>59.026871</v>
      </c>
      <c r="D166">
        <v>58.006225999999998</v>
      </c>
      <c r="E166">
        <v>58.261406000000001</v>
      </c>
      <c r="F166">
        <v>15.340363999999999</v>
      </c>
      <c r="G166">
        <v>1819061</v>
      </c>
      <c r="O166" s="8" t="str">
        <f t="shared" si="2"/>
        <v>Loss</v>
      </c>
      <c r="P166" s="5" t="str">
        <f>IF(Table2[[#This Row],[Close]]&gt;Table2[[#This Row],[Open]],"profite","loss")</f>
        <v>loss</v>
      </c>
    </row>
    <row r="167" spans="1:16" x14ac:dyDescent="0.3">
      <c r="A167" s="1">
        <v>35599</v>
      </c>
      <c r="B167">
        <v>58.133823</v>
      </c>
      <c r="C167">
        <v>58.389004</v>
      </c>
      <c r="D167">
        <v>57.772345999999999</v>
      </c>
      <c r="E167">
        <v>57.793633</v>
      </c>
      <c r="F167">
        <v>15.2172</v>
      </c>
      <c r="G167">
        <v>1213108</v>
      </c>
      <c r="O167" s="8" t="str">
        <f t="shared" si="2"/>
        <v>Loss</v>
      </c>
      <c r="P167" s="6" t="str">
        <f>IF(Table2[[#This Row],[Close]]&gt;Table2[[#This Row],[Open]],"profite","loss")</f>
        <v>loss</v>
      </c>
    </row>
    <row r="168" spans="1:16" x14ac:dyDescent="0.3">
      <c r="A168" s="1">
        <v>35600</v>
      </c>
      <c r="B168">
        <v>57.985016000000002</v>
      </c>
      <c r="C168">
        <v>58.218910000000001</v>
      </c>
      <c r="D168">
        <v>57.729835999999999</v>
      </c>
      <c r="E168">
        <v>57.942431999999997</v>
      </c>
      <c r="F168">
        <v>15.256378</v>
      </c>
      <c r="G168">
        <v>938986</v>
      </c>
      <c r="O168" s="8" t="str">
        <f t="shared" si="2"/>
        <v>Loss</v>
      </c>
      <c r="P168" s="5" t="str">
        <f>IF(Table2[[#This Row],[Close]]&gt;Table2[[#This Row],[Open]],"profite","loss")</f>
        <v>loss</v>
      </c>
    </row>
    <row r="169" spans="1:16" x14ac:dyDescent="0.3">
      <c r="A169" s="1">
        <v>35601</v>
      </c>
      <c r="B169">
        <v>57.921230000000001</v>
      </c>
      <c r="C169">
        <v>58.452801000000001</v>
      </c>
      <c r="D169">
        <v>57.772345999999999</v>
      </c>
      <c r="E169">
        <v>58.070030000000003</v>
      </c>
      <c r="F169">
        <v>15.289975</v>
      </c>
      <c r="G169">
        <v>1270818</v>
      </c>
      <c r="O169" s="8" t="str">
        <f t="shared" si="2"/>
        <v>Profit</v>
      </c>
      <c r="P169" s="6" t="str">
        <f>IF(Table2[[#This Row],[Close]]&gt;Table2[[#This Row],[Open]],"profite","loss")</f>
        <v>profite</v>
      </c>
    </row>
    <row r="170" spans="1:16" x14ac:dyDescent="0.3">
      <c r="A170" s="1">
        <v>35604</v>
      </c>
      <c r="B170">
        <v>58.133823</v>
      </c>
      <c r="C170">
        <v>58.155109000000003</v>
      </c>
      <c r="D170">
        <v>57.623539000000001</v>
      </c>
      <c r="E170">
        <v>57.836136000000003</v>
      </c>
      <c r="F170">
        <v>15.228389999999999</v>
      </c>
      <c r="G170">
        <v>920952</v>
      </c>
      <c r="O170" s="8" t="str">
        <f t="shared" si="2"/>
        <v>Loss</v>
      </c>
      <c r="P170" s="5" t="str">
        <f>IF(Table2[[#This Row],[Close]]&gt;Table2[[#This Row],[Open]],"profite","loss")</f>
        <v>loss</v>
      </c>
    </row>
    <row r="171" spans="1:16" x14ac:dyDescent="0.3">
      <c r="A171" s="1">
        <v>35605</v>
      </c>
      <c r="B171">
        <v>57.325867000000002</v>
      </c>
      <c r="C171">
        <v>58.261406000000001</v>
      </c>
      <c r="D171">
        <v>56.943085000000004</v>
      </c>
      <c r="E171">
        <v>57.410862000000002</v>
      </c>
      <c r="F171">
        <v>15.116415</v>
      </c>
      <c r="G171">
        <v>2148488</v>
      </c>
      <c r="O171" s="8" t="str">
        <f t="shared" si="2"/>
        <v>Profit</v>
      </c>
      <c r="P171" s="6" t="str">
        <f>IF(Table2[[#This Row],[Close]]&gt;Table2[[#This Row],[Open]],"profite","loss")</f>
        <v>profite</v>
      </c>
    </row>
    <row r="172" spans="1:16" x14ac:dyDescent="0.3">
      <c r="A172" s="1">
        <v>35606</v>
      </c>
      <c r="B172">
        <v>58.006225999999998</v>
      </c>
      <c r="C172">
        <v>60.068801999999998</v>
      </c>
      <c r="D172">
        <v>57.666049999999998</v>
      </c>
      <c r="E172">
        <v>60.005009000000001</v>
      </c>
      <c r="F172">
        <v>15.799455</v>
      </c>
      <c r="G172">
        <v>3831691</v>
      </c>
      <c r="O172" s="8" t="str">
        <f t="shared" si="2"/>
        <v>Profit</v>
      </c>
      <c r="P172" s="5" t="str">
        <f>IF(Table2[[#This Row],[Close]]&gt;Table2[[#This Row],[Open]],"profite","loss")</f>
        <v>profite</v>
      </c>
    </row>
    <row r="173" spans="1:16" x14ac:dyDescent="0.3">
      <c r="A173" s="1">
        <v>35607</v>
      </c>
      <c r="B173">
        <v>60.557868999999997</v>
      </c>
      <c r="C173">
        <v>61.280822999999998</v>
      </c>
      <c r="D173">
        <v>60.090004</v>
      </c>
      <c r="E173">
        <v>60.494076</v>
      </c>
      <c r="F173">
        <v>15.928229</v>
      </c>
      <c r="G173">
        <v>3767970</v>
      </c>
      <c r="O173" s="8" t="str">
        <f t="shared" si="2"/>
        <v>Loss</v>
      </c>
      <c r="P173" s="6" t="str">
        <f>IF(Table2[[#This Row],[Close]]&gt;Table2[[#This Row],[Open]],"profite","loss")</f>
        <v>loss</v>
      </c>
    </row>
    <row r="174" spans="1:16" x14ac:dyDescent="0.3">
      <c r="A174" s="1">
        <v>35608</v>
      </c>
      <c r="B174">
        <v>60.557868999999997</v>
      </c>
      <c r="C174">
        <v>60.664158</v>
      </c>
      <c r="D174">
        <v>59.579734999999999</v>
      </c>
      <c r="E174">
        <v>60.111305000000002</v>
      </c>
      <c r="F174">
        <v>15.827449</v>
      </c>
      <c r="G174">
        <v>1006315</v>
      </c>
      <c r="O174" s="8" t="str">
        <f t="shared" si="2"/>
        <v>Loss</v>
      </c>
      <c r="P174" s="5" t="str">
        <f>IF(Table2[[#This Row],[Close]]&gt;Table2[[#This Row],[Open]],"profite","loss")</f>
        <v>loss</v>
      </c>
    </row>
    <row r="175" spans="1:16" x14ac:dyDescent="0.3">
      <c r="A175" s="1">
        <v>35611</v>
      </c>
      <c r="B175">
        <v>60.345184000000003</v>
      </c>
      <c r="C175">
        <v>60.494076</v>
      </c>
      <c r="D175">
        <v>59.664814</v>
      </c>
      <c r="E175">
        <v>59.792327999999998</v>
      </c>
      <c r="F175">
        <v>15.743459</v>
      </c>
      <c r="G175">
        <v>987078</v>
      </c>
      <c r="O175" s="8" t="str">
        <f t="shared" si="2"/>
        <v>Loss</v>
      </c>
      <c r="P175" s="6" t="str">
        <f>IF(Table2[[#This Row],[Close]]&gt;Table2[[#This Row],[Open]],"profite","loss")</f>
        <v>loss</v>
      </c>
    </row>
    <row r="176" spans="1:16" x14ac:dyDescent="0.3">
      <c r="A176" s="1">
        <v>35612</v>
      </c>
      <c r="B176">
        <v>60.132598999999999</v>
      </c>
      <c r="C176">
        <v>60.876755000000003</v>
      </c>
      <c r="D176">
        <v>60.026299000000002</v>
      </c>
      <c r="E176">
        <v>60.855553</v>
      </c>
      <c r="F176">
        <v>16.023409000000001</v>
      </c>
      <c r="G176">
        <v>1342955</v>
      </c>
      <c r="O176" s="8" t="str">
        <f t="shared" si="2"/>
        <v>Profit</v>
      </c>
      <c r="P176" s="5" t="str">
        <f>IF(Table2[[#This Row],[Close]]&gt;Table2[[#This Row],[Open]],"profite","loss")</f>
        <v>profite</v>
      </c>
    </row>
    <row r="177" spans="1:16" x14ac:dyDescent="0.3">
      <c r="A177" s="1">
        <v>35613</v>
      </c>
      <c r="B177">
        <v>60.983131</v>
      </c>
      <c r="C177">
        <v>62.195072000000003</v>
      </c>
      <c r="D177">
        <v>60.685375000000001</v>
      </c>
      <c r="E177">
        <v>61.961193000000002</v>
      </c>
      <c r="F177">
        <v>16.314527999999999</v>
      </c>
      <c r="G177">
        <v>2670281</v>
      </c>
      <c r="O177" s="8" t="str">
        <f t="shared" si="2"/>
        <v>Profit</v>
      </c>
      <c r="P177" s="6" t="str">
        <f>IF(Table2[[#This Row],[Close]]&gt;Table2[[#This Row],[Open]],"profite","loss")</f>
        <v>profite</v>
      </c>
    </row>
    <row r="178" spans="1:16" x14ac:dyDescent="0.3">
      <c r="A178" s="1">
        <v>35614</v>
      </c>
      <c r="B178">
        <v>62.173870000000001</v>
      </c>
      <c r="C178">
        <v>62.386467000000003</v>
      </c>
      <c r="D178">
        <v>61.663502000000001</v>
      </c>
      <c r="E178">
        <v>62.024979000000002</v>
      </c>
      <c r="F178">
        <v>16.331323999999999</v>
      </c>
      <c r="G178">
        <v>1922458</v>
      </c>
      <c r="O178" s="8" t="str">
        <f t="shared" si="2"/>
        <v>Loss</v>
      </c>
      <c r="P178" s="5" t="str">
        <f>IF(Table2[[#This Row],[Close]]&gt;Table2[[#This Row],[Open]],"profite","loss")</f>
        <v>loss</v>
      </c>
    </row>
    <row r="179" spans="1:16" x14ac:dyDescent="0.3">
      <c r="A179" s="1">
        <v>35615</v>
      </c>
      <c r="B179">
        <v>62.088776000000003</v>
      </c>
      <c r="C179">
        <v>62.088776000000003</v>
      </c>
      <c r="D179">
        <v>61.387118999999998</v>
      </c>
      <c r="E179">
        <v>61.663502000000001</v>
      </c>
      <c r="F179">
        <v>16.236141</v>
      </c>
      <c r="G179">
        <v>834387</v>
      </c>
      <c r="O179" s="8" t="str">
        <f t="shared" si="2"/>
        <v>Loss</v>
      </c>
      <c r="P179" s="6" t="str">
        <f>IF(Table2[[#This Row],[Close]]&gt;Table2[[#This Row],[Open]],"profite","loss")</f>
        <v>loss</v>
      </c>
    </row>
    <row r="180" spans="1:16" x14ac:dyDescent="0.3">
      <c r="A180" s="1">
        <v>35618</v>
      </c>
      <c r="B180">
        <v>61.663502000000001</v>
      </c>
      <c r="C180">
        <v>62.195072000000003</v>
      </c>
      <c r="D180">
        <v>62.024979000000002</v>
      </c>
      <c r="E180">
        <v>62.088776000000003</v>
      </c>
      <c r="F180">
        <v>16.348120000000002</v>
      </c>
      <c r="G180">
        <v>141869</v>
      </c>
      <c r="O180" s="8" t="str">
        <f t="shared" si="2"/>
        <v>Profit</v>
      </c>
      <c r="P180" s="5" t="str">
        <f>IF(Table2[[#This Row],[Close]]&gt;Table2[[#This Row],[Open]],"profite","loss")</f>
        <v>profite</v>
      </c>
    </row>
    <row r="181" spans="1:16" x14ac:dyDescent="0.3">
      <c r="A181" s="1">
        <v>35619</v>
      </c>
      <c r="B181">
        <v>62.088776000000003</v>
      </c>
      <c r="C181">
        <v>62.854239999999997</v>
      </c>
      <c r="D181">
        <v>61.876182999999997</v>
      </c>
      <c r="E181">
        <v>62.046280000000003</v>
      </c>
      <c r="F181">
        <v>16.336926999999999</v>
      </c>
      <c r="G181">
        <v>1838298</v>
      </c>
      <c r="O181" s="8" t="str">
        <f t="shared" si="2"/>
        <v>Loss</v>
      </c>
      <c r="P181" s="6" t="str">
        <f>IF(Table2[[#This Row],[Close]]&gt;Table2[[#This Row],[Open]],"profite","loss")</f>
        <v>loss</v>
      </c>
    </row>
    <row r="182" spans="1:16" x14ac:dyDescent="0.3">
      <c r="A182" s="1">
        <v>35620</v>
      </c>
      <c r="B182">
        <v>62.301453000000002</v>
      </c>
      <c r="C182">
        <v>62.641646999999999</v>
      </c>
      <c r="D182">
        <v>61.323326000000002</v>
      </c>
      <c r="E182">
        <v>61.578505999999997</v>
      </c>
      <c r="F182">
        <v>16.213766</v>
      </c>
      <c r="G182">
        <v>1714462</v>
      </c>
      <c r="O182" s="8" t="str">
        <f t="shared" si="2"/>
        <v>Loss</v>
      </c>
      <c r="P182" s="5" t="str">
        <f>IF(Table2[[#This Row],[Close]]&gt;Table2[[#This Row],[Open]],"profite","loss")</f>
        <v>loss</v>
      </c>
    </row>
    <row r="183" spans="1:16" x14ac:dyDescent="0.3">
      <c r="A183" s="1">
        <v>35621</v>
      </c>
      <c r="B183">
        <v>61.450909000000003</v>
      </c>
      <c r="C183">
        <v>61.812385999999996</v>
      </c>
      <c r="D183">
        <v>61.450909000000003</v>
      </c>
      <c r="E183">
        <v>61.557205000000003</v>
      </c>
      <c r="F183">
        <v>16.208155000000001</v>
      </c>
      <c r="G183">
        <v>1278032</v>
      </c>
      <c r="O183" s="8" t="str">
        <f t="shared" si="2"/>
        <v>Profit</v>
      </c>
      <c r="P183" s="6" t="str">
        <f>IF(Table2[[#This Row],[Close]]&gt;Table2[[#This Row],[Open]],"profite","loss")</f>
        <v>profite</v>
      </c>
    </row>
    <row r="184" spans="1:16" x14ac:dyDescent="0.3">
      <c r="A184" s="1">
        <v>35622</v>
      </c>
      <c r="B184">
        <v>61.854897000000001</v>
      </c>
      <c r="C184">
        <v>62.195072000000003</v>
      </c>
      <c r="D184">
        <v>61.535919</v>
      </c>
      <c r="E184">
        <v>61.812385999999996</v>
      </c>
      <c r="F184">
        <v>16.275351000000001</v>
      </c>
      <c r="G184">
        <v>1383833</v>
      </c>
      <c r="O184" s="8" t="str">
        <f t="shared" si="2"/>
        <v>Loss</v>
      </c>
      <c r="P184" s="5" t="str">
        <f>IF(Table2[[#This Row],[Close]]&gt;Table2[[#This Row],[Open]],"profite","loss")</f>
        <v>loss</v>
      </c>
    </row>
    <row r="185" spans="1:16" x14ac:dyDescent="0.3">
      <c r="A185" s="1">
        <v>35625</v>
      </c>
      <c r="B185">
        <v>62.173870000000001</v>
      </c>
      <c r="C185">
        <v>63.577193999999999</v>
      </c>
      <c r="D185">
        <v>62.088776000000003</v>
      </c>
      <c r="E185">
        <v>63.322097999999997</v>
      </c>
      <c r="F185">
        <v>16.672854999999998</v>
      </c>
      <c r="G185">
        <v>2654651</v>
      </c>
      <c r="O185" s="8" t="str">
        <f t="shared" si="2"/>
        <v>Profit</v>
      </c>
      <c r="P185" s="6" t="str">
        <f>IF(Table2[[#This Row],[Close]]&gt;Table2[[#This Row],[Open]],"profite","loss")</f>
        <v>profite</v>
      </c>
    </row>
    <row r="186" spans="1:16" x14ac:dyDescent="0.3">
      <c r="A186" s="1">
        <v>35626</v>
      </c>
      <c r="B186">
        <v>63.279513999999999</v>
      </c>
      <c r="C186">
        <v>64.108849000000006</v>
      </c>
      <c r="D186">
        <v>62.726643000000003</v>
      </c>
      <c r="E186">
        <v>63.938670999999999</v>
      </c>
      <c r="F186">
        <v>16.835201000000001</v>
      </c>
      <c r="G186">
        <v>2849422</v>
      </c>
      <c r="O186" s="8" t="str">
        <f t="shared" si="2"/>
        <v>Profit</v>
      </c>
      <c r="P186" s="5" t="str">
        <f>IF(Table2[[#This Row],[Close]]&gt;Table2[[#This Row],[Open]],"profite","loss")</f>
        <v>profite</v>
      </c>
    </row>
    <row r="187" spans="1:16" x14ac:dyDescent="0.3">
      <c r="A187" s="1">
        <v>35627</v>
      </c>
      <c r="B187">
        <v>64.130050999999995</v>
      </c>
      <c r="C187">
        <v>65.427170000000004</v>
      </c>
      <c r="D187">
        <v>63.896172</v>
      </c>
      <c r="E187">
        <v>65.193282999999994</v>
      </c>
      <c r="F187">
        <v>17.165543</v>
      </c>
      <c r="G187">
        <v>2272324</v>
      </c>
      <c r="O187" s="8" t="str">
        <f t="shared" si="2"/>
        <v>Profit</v>
      </c>
      <c r="P187" s="6" t="str">
        <f>IF(Table2[[#This Row],[Close]]&gt;Table2[[#This Row],[Open]],"profite","loss")</f>
        <v>profite</v>
      </c>
    </row>
    <row r="188" spans="1:16" x14ac:dyDescent="0.3">
      <c r="A188" s="1">
        <v>35628</v>
      </c>
      <c r="B188">
        <v>65.575965999999994</v>
      </c>
      <c r="C188">
        <v>66.001244</v>
      </c>
      <c r="D188">
        <v>64.044556</v>
      </c>
      <c r="E188">
        <v>64.512825000000007</v>
      </c>
      <c r="F188">
        <v>16.986377999999998</v>
      </c>
      <c r="G188">
        <v>2296370</v>
      </c>
      <c r="O188" s="8" t="str">
        <f t="shared" si="2"/>
        <v>Loss</v>
      </c>
      <c r="P188" s="5" t="str">
        <f>IF(Table2[[#This Row],[Close]]&gt;Table2[[#This Row],[Open]],"profite","loss")</f>
        <v>loss</v>
      </c>
    </row>
    <row r="189" spans="1:16" x14ac:dyDescent="0.3">
      <c r="A189" s="1">
        <v>35629</v>
      </c>
      <c r="B189">
        <v>64.576622</v>
      </c>
      <c r="C189">
        <v>64.767914000000005</v>
      </c>
      <c r="D189">
        <v>63.726078000000001</v>
      </c>
      <c r="E189">
        <v>63.789870999999998</v>
      </c>
      <c r="F189">
        <v>16.796016999999999</v>
      </c>
      <c r="G189">
        <v>1219120</v>
      </c>
      <c r="O189" s="8" t="str">
        <f t="shared" si="2"/>
        <v>Loss</v>
      </c>
      <c r="P189" s="6" t="str">
        <f>IF(Table2[[#This Row],[Close]]&gt;Table2[[#This Row],[Open]],"profite","loss")</f>
        <v>loss</v>
      </c>
    </row>
    <row r="190" spans="1:16" x14ac:dyDescent="0.3">
      <c r="A190" s="1">
        <v>35632</v>
      </c>
      <c r="B190">
        <v>63.789870999999998</v>
      </c>
      <c r="C190">
        <v>64.130050999999995</v>
      </c>
      <c r="D190">
        <v>62.450252999999996</v>
      </c>
      <c r="E190">
        <v>63.407097</v>
      </c>
      <c r="F190">
        <v>16.695236000000001</v>
      </c>
      <c r="G190">
        <v>1261200</v>
      </c>
      <c r="O190" s="8" t="str">
        <f t="shared" si="2"/>
        <v>Loss</v>
      </c>
      <c r="P190" s="5" t="str">
        <f>IF(Table2[[#This Row],[Close]]&gt;Table2[[#This Row],[Open]],"profite","loss")</f>
        <v>loss</v>
      </c>
    </row>
    <row r="191" spans="1:16" x14ac:dyDescent="0.3">
      <c r="A191" s="1">
        <v>35633</v>
      </c>
      <c r="B191">
        <v>64.002464000000003</v>
      </c>
      <c r="C191">
        <v>64.172561999999999</v>
      </c>
      <c r="D191">
        <v>61.876182999999997</v>
      </c>
      <c r="E191">
        <v>62.556556999999998</v>
      </c>
      <c r="F191">
        <v>16.471285000000002</v>
      </c>
      <c r="G191">
        <v>2891502</v>
      </c>
      <c r="O191" s="8" t="str">
        <f t="shared" si="2"/>
        <v>Loss</v>
      </c>
      <c r="P191" s="6" t="str">
        <f>IF(Table2[[#This Row],[Close]]&gt;Table2[[#This Row],[Open]],"profite","loss")</f>
        <v>loss</v>
      </c>
    </row>
    <row r="192" spans="1:16" x14ac:dyDescent="0.3">
      <c r="A192" s="1">
        <v>35634</v>
      </c>
      <c r="B192">
        <v>63.577193999999999</v>
      </c>
      <c r="C192">
        <v>65.065680999999998</v>
      </c>
      <c r="D192">
        <v>63.173217999999999</v>
      </c>
      <c r="E192">
        <v>63.598480000000002</v>
      </c>
      <c r="F192">
        <v>16.745629999999998</v>
      </c>
      <c r="G192">
        <v>3146387</v>
      </c>
      <c r="O192" s="8" t="str">
        <f t="shared" si="2"/>
        <v>Profit</v>
      </c>
      <c r="P192" s="5" t="str">
        <f>IF(Table2[[#This Row],[Close]]&gt;Table2[[#This Row],[Open]],"profite","loss")</f>
        <v>profite</v>
      </c>
    </row>
    <row r="193" spans="1:16" x14ac:dyDescent="0.3">
      <c r="A193" s="1">
        <v>35635</v>
      </c>
      <c r="B193">
        <v>63.577193999999999</v>
      </c>
      <c r="C193">
        <v>64.895515000000003</v>
      </c>
      <c r="D193">
        <v>62.514049999999997</v>
      </c>
      <c r="E193">
        <v>62.514049999999997</v>
      </c>
      <c r="F193">
        <v>16.460096</v>
      </c>
      <c r="G193">
        <v>2713564</v>
      </c>
      <c r="O193" s="8" t="str">
        <f t="shared" si="2"/>
        <v>Loss</v>
      </c>
      <c r="P193" s="6" t="str">
        <f>IF(Table2[[#This Row],[Close]]&gt;Table2[[#This Row],[Open]],"profite","loss")</f>
        <v>loss</v>
      </c>
    </row>
    <row r="194" spans="1:16" x14ac:dyDescent="0.3">
      <c r="A194" s="1">
        <v>35636</v>
      </c>
      <c r="B194">
        <v>63.151924000000001</v>
      </c>
      <c r="C194">
        <v>64.385231000000005</v>
      </c>
      <c r="D194">
        <v>62.514049999999997</v>
      </c>
      <c r="E194">
        <v>64.321442000000005</v>
      </c>
      <c r="F194">
        <v>16.935986</v>
      </c>
      <c r="G194">
        <v>1657955</v>
      </c>
      <c r="O194" s="8" t="str">
        <f t="shared" si="2"/>
        <v>Profit</v>
      </c>
      <c r="P194" s="5" t="str">
        <f>IF(Table2[[#This Row],[Close]]&gt;Table2[[#This Row],[Open]],"profite","loss")</f>
        <v>profite</v>
      </c>
    </row>
    <row r="195" spans="1:16" x14ac:dyDescent="0.3">
      <c r="A195" s="1">
        <v>35639</v>
      </c>
      <c r="B195">
        <v>64.853012000000007</v>
      </c>
      <c r="C195">
        <v>66.043739000000002</v>
      </c>
      <c r="D195">
        <v>64.470245000000006</v>
      </c>
      <c r="E195">
        <v>66.022521999999995</v>
      </c>
      <c r="F195">
        <v>17.383883000000001</v>
      </c>
      <c r="G195">
        <v>2059519</v>
      </c>
      <c r="O195" s="8" t="str">
        <f t="shared" ref="O195:O258" si="3">IF(E195&gt;B195,"Profit",IF(E195&lt;B195,"Loss","No Change"))</f>
        <v>Profit</v>
      </c>
      <c r="P195" s="6" t="str">
        <f>IF(Table2[[#This Row],[Close]]&gt;Table2[[#This Row],[Open]],"profite","loss")</f>
        <v>profite</v>
      </c>
    </row>
    <row r="196" spans="1:16" x14ac:dyDescent="0.3">
      <c r="A196" s="1">
        <v>35640</v>
      </c>
      <c r="B196">
        <v>65.916145</v>
      </c>
      <c r="C196">
        <v>66.851776000000001</v>
      </c>
      <c r="D196">
        <v>66.128822</v>
      </c>
      <c r="E196">
        <v>66.724197000000004</v>
      </c>
      <c r="F196">
        <v>17.568639999999998</v>
      </c>
      <c r="G196">
        <v>931773</v>
      </c>
      <c r="O196" s="8" t="str">
        <f t="shared" si="3"/>
        <v>Profit</v>
      </c>
      <c r="P196" s="5" t="str">
        <f>IF(Table2[[#This Row],[Close]]&gt;Table2[[#This Row],[Open]],"profite","loss")</f>
        <v>profite</v>
      </c>
    </row>
    <row r="197" spans="1:16" x14ac:dyDescent="0.3">
      <c r="A197" s="1">
        <v>35641</v>
      </c>
      <c r="B197">
        <v>67.106964000000005</v>
      </c>
      <c r="C197">
        <v>68.085014000000001</v>
      </c>
      <c r="D197">
        <v>66.979377999999997</v>
      </c>
      <c r="E197">
        <v>68.042518999999999</v>
      </c>
      <c r="F197">
        <v>17.915754</v>
      </c>
      <c r="G197">
        <v>2287954</v>
      </c>
      <c r="O197" s="8" t="str">
        <f t="shared" si="3"/>
        <v>Profit</v>
      </c>
      <c r="P197" s="6" t="str">
        <f>IF(Table2[[#This Row],[Close]]&gt;Table2[[#This Row],[Open]],"profite","loss")</f>
        <v>profite</v>
      </c>
    </row>
    <row r="198" spans="1:16" x14ac:dyDescent="0.3">
      <c r="A198" s="1">
        <v>35642</v>
      </c>
      <c r="B198">
        <v>68.361487999999994</v>
      </c>
      <c r="C198">
        <v>66.809189000000003</v>
      </c>
      <c r="D198">
        <v>64.746718999999999</v>
      </c>
      <c r="E198">
        <v>65.001900000000006</v>
      </c>
      <c r="F198">
        <v>17.115151999999998</v>
      </c>
      <c r="G198">
        <v>5354990</v>
      </c>
      <c r="O198" s="8" t="str">
        <f t="shared" si="3"/>
        <v>Loss</v>
      </c>
      <c r="P198" s="5" t="str">
        <f>IF(Table2[[#This Row],[Close]]&gt;Table2[[#This Row],[Open]],"profite","loss")</f>
        <v>loss</v>
      </c>
    </row>
    <row r="199" spans="1:16" x14ac:dyDescent="0.3">
      <c r="A199" s="1">
        <v>35643</v>
      </c>
      <c r="B199">
        <v>65.065680999999998</v>
      </c>
      <c r="C199">
        <v>65.490951999999993</v>
      </c>
      <c r="D199">
        <v>62.301453000000002</v>
      </c>
      <c r="E199">
        <v>62.981822999999999</v>
      </c>
      <c r="F199">
        <v>16.583258000000001</v>
      </c>
      <c r="G199">
        <v>6248290</v>
      </c>
      <c r="O199" s="8" t="str">
        <f t="shared" si="3"/>
        <v>Loss</v>
      </c>
      <c r="P199" s="6" t="str">
        <f>IF(Table2[[#This Row],[Close]]&gt;Table2[[#This Row],[Open]],"profite","loss")</f>
        <v>loss</v>
      </c>
    </row>
    <row r="200" spans="1:16" x14ac:dyDescent="0.3">
      <c r="A200" s="1">
        <v>35646</v>
      </c>
      <c r="B200">
        <v>63.151924000000001</v>
      </c>
      <c r="C200">
        <v>63.704777</v>
      </c>
      <c r="D200">
        <v>62.258876999999998</v>
      </c>
      <c r="E200">
        <v>62.322670000000002</v>
      </c>
      <c r="F200">
        <v>16.409701999999999</v>
      </c>
      <c r="G200">
        <v>2119633</v>
      </c>
      <c r="O200" s="8" t="str">
        <f t="shared" si="3"/>
        <v>Loss</v>
      </c>
      <c r="P200" s="5" t="str">
        <f>IF(Table2[[#This Row],[Close]]&gt;Table2[[#This Row],[Open]],"profite","loss")</f>
        <v>loss</v>
      </c>
    </row>
    <row r="201" spans="1:16" x14ac:dyDescent="0.3">
      <c r="A201" s="1">
        <v>35647</v>
      </c>
      <c r="B201">
        <v>62.726643000000003</v>
      </c>
      <c r="C201">
        <v>64.002464000000003</v>
      </c>
      <c r="D201">
        <v>62.726643000000003</v>
      </c>
      <c r="E201">
        <v>63.194499999999998</v>
      </c>
      <c r="F201">
        <v>16.639263</v>
      </c>
      <c r="G201">
        <v>1953718</v>
      </c>
      <c r="O201" s="8" t="str">
        <f t="shared" si="3"/>
        <v>Profit</v>
      </c>
      <c r="P201" s="6" t="str">
        <f>IF(Table2[[#This Row],[Close]]&gt;Table2[[#This Row],[Open]],"profite","loss")</f>
        <v>profite</v>
      </c>
    </row>
    <row r="202" spans="1:16" x14ac:dyDescent="0.3">
      <c r="A202" s="1">
        <v>35648</v>
      </c>
      <c r="B202">
        <v>63.492184000000002</v>
      </c>
      <c r="C202">
        <v>63.534694999999999</v>
      </c>
      <c r="D202">
        <v>62.811729</v>
      </c>
      <c r="E202">
        <v>63.151924000000001</v>
      </c>
      <c r="F202">
        <v>16.628052</v>
      </c>
      <c r="G202">
        <v>937784</v>
      </c>
      <c r="O202" s="8" t="str">
        <f t="shared" si="3"/>
        <v>Loss</v>
      </c>
      <c r="P202" s="5" t="str">
        <f>IF(Table2[[#This Row],[Close]]&gt;Table2[[#This Row],[Open]],"profite","loss")</f>
        <v>loss</v>
      </c>
    </row>
    <row r="203" spans="1:16" x14ac:dyDescent="0.3">
      <c r="A203" s="1">
        <v>35649</v>
      </c>
      <c r="B203">
        <v>63.726078000000001</v>
      </c>
      <c r="C203">
        <v>64.002464000000003</v>
      </c>
      <c r="D203">
        <v>62.939326999999999</v>
      </c>
      <c r="E203">
        <v>63.237003000000001</v>
      </c>
      <c r="F203">
        <v>16.650449999999999</v>
      </c>
      <c r="G203">
        <v>1767363</v>
      </c>
      <c r="O203" s="8" t="str">
        <f t="shared" si="3"/>
        <v>Loss</v>
      </c>
      <c r="P203" s="6" t="str">
        <f>IF(Table2[[#This Row],[Close]]&gt;Table2[[#This Row],[Open]],"profite","loss")</f>
        <v>loss</v>
      </c>
    </row>
    <row r="204" spans="1:16" x14ac:dyDescent="0.3">
      <c r="A204" s="1">
        <v>35650</v>
      </c>
      <c r="B204">
        <v>62.514049999999997</v>
      </c>
      <c r="C204">
        <v>63.237003000000001</v>
      </c>
      <c r="D204">
        <v>62.131278999999999</v>
      </c>
      <c r="E204">
        <v>62.280169999999998</v>
      </c>
      <c r="F204">
        <v>16.398516000000001</v>
      </c>
      <c r="G204">
        <v>1698832</v>
      </c>
      <c r="O204" s="8" t="str">
        <f t="shared" si="3"/>
        <v>Loss</v>
      </c>
      <c r="P204" s="5" t="str">
        <f>IF(Table2[[#This Row],[Close]]&gt;Table2[[#This Row],[Open]],"profite","loss")</f>
        <v>loss</v>
      </c>
    </row>
    <row r="205" spans="1:16" x14ac:dyDescent="0.3">
      <c r="A205" s="1">
        <v>35653</v>
      </c>
      <c r="B205">
        <v>61.748600000000003</v>
      </c>
      <c r="C205">
        <v>63.024405999999999</v>
      </c>
      <c r="D205">
        <v>61.535919</v>
      </c>
      <c r="E205">
        <v>62.514049999999997</v>
      </c>
      <c r="F205">
        <v>16.460096</v>
      </c>
      <c r="G205">
        <v>911334</v>
      </c>
      <c r="O205" s="8" t="str">
        <f t="shared" si="3"/>
        <v>Profit</v>
      </c>
      <c r="P205" s="6" t="str">
        <f>IF(Table2[[#This Row],[Close]]&gt;Table2[[#This Row],[Open]],"profite","loss")</f>
        <v>profite</v>
      </c>
    </row>
    <row r="206" spans="1:16" x14ac:dyDescent="0.3">
      <c r="A206" s="1">
        <v>35654</v>
      </c>
      <c r="B206">
        <v>62.811729</v>
      </c>
      <c r="C206">
        <v>63.619781000000003</v>
      </c>
      <c r="D206">
        <v>62.641646999999999</v>
      </c>
      <c r="E206">
        <v>63.577193999999999</v>
      </c>
      <c r="F206">
        <v>16.740026</v>
      </c>
      <c r="G206">
        <v>981067</v>
      </c>
      <c r="O206" s="8" t="str">
        <f t="shared" si="3"/>
        <v>Profit</v>
      </c>
      <c r="P206" s="5" t="str">
        <f>IF(Table2[[#This Row],[Close]]&gt;Table2[[#This Row],[Open]],"profite","loss")</f>
        <v>profite</v>
      </c>
    </row>
    <row r="207" spans="1:16" x14ac:dyDescent="0.3">
      <c r="A207" s="1">
        <v>35655</v>
      </c>
      <c r="B207">
        <v>63.534694999999999</v>
      </c>
      <c r="C207">
        <v>63.534694999999999</v>
      </c>
      <c r="D207">
        <v>61.684803000000002</v>
      </c>
      <c r="E207">
        <v>62.067574</v>
      </c>
      <c r="F207">
        <v>16.342535000000002</v>
      </c>
      <c r="G207">
        <v>1713260</v>
      </c>
      <c r="O207" s="8" t="str">
        <f t="shared" si="3"/>
        <v>Loss</v>
      </c>
      <c r="P207" s="6" t="str">
        <f>IF(Table2[[#This Row],[Close]]&gt;Table2[[#This Row],[Open]],"profite","loss")</f>
        <v>loss</v>
      </c>
    </row>
    <row r="208" spans="1:16" x14ac:dyDescent="0.3">
      <c r="A208" s="1">
        <v>35656</v>
      </c>
      <c r="B208">
        <v>62.386467000000003</v>
      </c>
      <c r="C208">
        <v>62.450252999999996</v>
      </c>
      <c r="D208">
        <v>60.812964999999998</v>
      </c>
      <c r="E208">
        <v>60.855553</v>
      </c>
      <c r="F208">
        <v>16.023409000000001</v>
      </c>
      <c r="G208">
        <v>1240761</v>
      </c>
      <c r="O208" s="8" t="str">
        <f t="shared" si="3"/>
        <v>Loss</v>
      </c>
      <c r="P208" s="5" t="str">
        <f>IF(Table2[[#This Row],[Close]]&gt;Table2[[#This Row],[Open]],"profite","loss")</f>
        <v>loss</v>
      </c>
    </row>
    <row r="209" spans="1:16" x14ac:dyDescent="0.3">
      <c r="A209" s="1">
        <v>35657</v>
      </c>
      <c r="B209">
        <v>61.238239</v>
      </c>
      <c r="C209">
        <v>61.238239</v>
      </c>
      <c r="D209">
        <v>58.197612999999997</v>
      </c>
      <c r="E209">
        <v>58.197612999999997</v>
      </c>
      <c r="F209">
        <v>15.323567000000001</v>
      </c>
      <c r="G209">
        <v>2660663</v>
      </c>
      <c r="O209" s="8" t="str">
        <f t="shared" si="3"/>
        <v>Loss</v>
      </c>
      <c r="P209" s="6" t="str">
        <f>IF(Table2[[#This Row],[Close]]&gt;Table2[[#This Row],[Open]],"profite","loss")</f>
        <v>loss</v>
      </c>
    </row>
    <row r="210" spans="1:16" x14ac:dyDescent="0.3">
      <c r="A210" s="1">
        <v>35660</v>
      </c>
      <c r="B210">
        <v>56.560326000000003</v>
      </c>
      <c r="C210">
        <v>58.240124000000002</v>
      </c>
      <c r="D210">
        <v>55.922459000000003</v>
      </c>
      <c r="E210">
        <v>58.155109000000003</v>
      </c>
      <c r="F210">
        <v>15.312374</v>
      </c>
      <c r="G210">
        <v>2581312</v>
      </c>
      <c r="O210" s="8" t="str">
        <f t="shared" si="3"/>
        <v>Profit</v>
      </c>
      <c r="P210" s="5" t="str">
        <f>IF(Table2[[#This Row],[Close]]&gt;Table2[[#This Row],[Open]],"profite","loss")</f>
        <v>profite</v>
      </c>
    </row>
    <row r="211" spans="1:16" x14ac:dyDescent="0.3">
      <c r="A211" s="1">
        <v>35661</v>
      </c>
      <c r="B211">
        <v>58.899281000000002</v>
      </c>
      <c r="C211">
        <v>61.110649000000002</v>
      </c>
      <c r="D211">
        <v>58.707897000000003</v>
      </c>
      <c r="E211">
        <v>60.983131</v>
      </c>
      <c r="F211">
        <v>16.056996999999999</v>
      </c>
      <c r="G211">
        <v>1951313</v>
      </c>
      <c r="O211" s="8" t="str">
        <f t="shared" si="3"/>
        <v>Profit</v>
      </c>
      <c r="P211" s="6" t="str">
        <f>IF(Table2[[#This Row],[Close]]&gt;Table2[[#This Row],[Open]],"profite","loss")</f>
        <v>profite</v>
      </c>
    </row>
    <row r="212" spans="1:16" x14ac:dyDescent="0.3">
      <c r="A212" s="1">
        <v>35662</v>
      </c>
      <c r="B212">
        <v>61.706088999999999</v>
      </c>
      <c r="C212">
        <v>62.046280000000003</v>
      </c>
      <c r="D212">
        <v>60.834251000000002</v>
      </c>
      <c r="E212">
        <v>60.898052</v>
      </c>
      <c r="F212">
        <v>16.034597000000002</v>
      </c>
      <c r="G212">
        <v>408777</v>
      </c>
      <c r="O212" s="8" t="str">
        <f t="shared" si="3"/>
        <v>Loss</v>
      </c>
      <c r="P212" s="5" t="str">
        <f>IF(Table2[[#This Row],[Close]]&gt;Table2[[#This Row],[Open]],"profite","loss")</f>
        <v>loss</v>
      </c>
    </row>
    <row r="213" spans="1:16" x14ac:dyDescent="0.3">
      <c r="A213" s="1">
        <v>35663</v>
      </c>
      <c r="B213">
        <v>61.939982999999998</v>
      </c>
      <c r="C213">
        <v>62.15258</v>
      </c>
      <c r="D213">
        <v>61.642302999999998</v>
      </c>
      <c r="E213">
        <v>61.642302999999998</v>
      </c>
      <c r="F213">
        <v>16.230564000000001</v>
      </c>
      <c r="G213">
        <v>957021</v>
      </c>
      <c r="O213" s="8" t="str">
        <f t="shared" si="3"/>
        <v>Loss</v>
      </c>
      <c r="P213" s="6" t="str">
        <f>IF(Table2[[#This Row],[Close]]&gt;Table2[[#This Row],[Open]],"profite","loss")</f>
        <v>loss</v>
      </c>
    </row>
    <row r="214" spans="1:16" x14ac:dyDescent="0.3">
      <c r="A214" s="1">
        <v>35664</v>
      </c>
      <c r="B214">
        <v>59.749825000000001</v>
      </c>
      <c r="C214">
        <v>60.260185</v>
      </c>
      <c r="D214">
        <v>59.111958000000001</v>
      </c>
      <c r="E214">
        <v>59.154452999999997</v>
      </c>
      <c r="F214">
        <v>15.575504</v>
      </c>
      <c r="G214">
        <v>2434633</v>
      </c>
      <c r="O214" s="8" t="str">
        <f t="shared" si="3"/>
        <v>Loss</v>
      </c>
      <c r="P214" s="5" t="str">
        <f>IF(Table2[[#This Row],[Close]]&gt;Table2[[#This Row],[Open]],"profite","loss")</f>
        <v>loss</v>
      </c>
    </row>
    <row r="215" spans="1:16" x14ac:dyDescent="0.3">
      <c r="A215" s="1">
        <v>35667</v>
      </c>
      <c r="B215">
        <v>59.111958000000001</v>
      </c>
      <c r="C215">
        <v>59.260750000000002</v>
      </c>
      <c r="D215">
        <v>59.111958000000001</v>
      </c>
      <c r="E215">
        <v>59.260750000000002</v>
      </c>
      <c r="F215">
        <v>15.603497000000001</v>
      </c>
      <c r="G215">
        <v>8416</v>
      </c>
      <c r="O215" s="8" t="str">
        <f t="shared" si="3"/>
        <v>Profit</v>
      </c>
      <c r="P215" s="6" t="str">
        <f>IF(Table2[[#This Row],[Close]]&gt;Table2[[#This Row],[Open]],"profite","loss")</f>
        <v>profite</v>
      </c>
    </row>
    <row r="216" spans="1:16" x14ac:dyDescent="0.3">
      <c r="A216" s="1">
        <v>35668</v>
      </c>
      <c r="B216">
        <v>58.218910000000001</v>
      </c>
      <c r="C216">
        <v>58.346420000000002</v>
      </c>
      <c r="D216">
        <v>56.560326000000003</v>
      </c>
      <c r="E216">
        <v>57.410862000000002</v>
      </c>
      <c r="F216">
        <v>15.116415</v>
      </c>
      <c r="G216">
        <v>5825085</v>
      </c>
      <c r="O216" s="8" t="str">
        <f t="shared" si="3"/>
        <v>Loss</v>
      </c>
      <c r="P216" s="5" t="str">
        <f>IF(Table2[[#This Row],[Close]]&gt;Table2[[#This Row],[Open]],"profite","loss")</f>
        <v>loss</v>
      </c>
    </row>
    <row r="217" spans="1:16" x14ac:dyDescent="0.3">
      <c r="A217" s="1">
        <v>35669</v>
      </c>
      <c r="B217">
        <v>56.985596000000001</v>
      </c>
      <c r="C217">
        <v>58.580379000000001</v>
      </c>
      <c r="D217">
        <v>56.390231999999997</v>
      </c>
      <c r="E217">
        <v>57.878642999999997</v>
      </c>
      <c r="F217">
        <v>15.239583</v>
      </c>
      <c r="G217">
        <v>5838310</v>
      </c>
      <c r="O217" s="8" t="str">
        <f t="shared" si="3"/>
        <v>Profit</v>
      </c>
      <c r="P217" s="6" t="str">
        <f>IF(Table2[[#This Row],[Close]]&gt;Table2[[#This Row],[Open]],"profite","loss")</f>
        <v>profite</v>
      </c>
    </row>
    <row r="218" spans="1:16" x14ac:dyDescent="0.3">
      <c r="A218" s="1">
        <v>35670</v>
      </c>
      <c r="B218">
        <v>58.431507000000003</v>
      </c>
      <c r="C218">
        <v>58.814278000000002</v>
      </c>
      <c r="D218">
        <v>56.071258999999998</v>
      </c>
      <c r="E218">
        <v>56.581608000000003</v>
      </c>
      <c r="F218">
        <v>14.898070000000001</v>
      </c>
      <c r="G218">
        <v>5328540</v>
      </c>
      <c r="O218" s="8" t="str">
        <f t="shared" si="3"/>
        <v>Loss</v>
      </c>
      <c r="P218" s="5" t="str">
        <f>IF(Table2[[#This Row],[Close]]&gt;Table2[[#This Row],[Open]],"profite","loss")</f>
        <v>loss</v>
      </c>
    </row>
    <row r="219" spans="1:16" x14ac:dyDescent="0.3">
      <c r="A219" s="1">
        <v>35671</v>
      </c>
      <c r="B219">
        <v>56.560326000000003</v>
      </c>
      <c r="C219">
        <v>56.900500999999998</v>
      </c>
      <c r="D219">
        <v>56.135052000000002</v>
      </c>
      <c r="E219">
        <v>56.135052000000002</v>
      </c>
      <c r="F219">
        <v>14.780488999999999</v>
      </c>
      <c r="G219">
        <v>1074845</v>
      </c>
      <c r="O219" s="8" t="str">
        <f t="shared" si="3"/>
        <v>Loss</v>
      </c>
      <c r="P219" s="6" t="str">
        <f>IF(Table2[[#This Row],[Close]]&gt;Table2[[#This Row],[Open]],"profite","loss")</f>
        <v>loss</v>
      </c>
    </row>
    <row r="220" spans="1:16" x14ac:dyDescent="0.3">
      <c r="A220" s="1">
        <v>35674</v>
      </c>
      <c r="B220">
        <v>56.773003000000003</v>
      </c>
      <c r="C220">
        <v>58.261406000000001</v>
      </c>
      <c r="D220">
        <v>56.773003000000003</v>
      </c>
      <c r="E220">
        <v>58.027526999999999</v>
      </c>
      <c r="F220">
        <v>15.278782</v>
      </c>
      <c r="G220">
        <v>3553963</v>
      </c>
      <c r="O220" s="8" t="str">
        <f t="shared" si="3"/>
        <v>Profit</v>
      </c>
      <c r="P220" s="5" t="str">
        <f>IF(Table2[[#This Row],[Close]]&gt;Table2[[#This Row],[Open]],"profite","loss")</f>
        <v>profite</v>
      </c>
    </row>
    <row r="221" spans="1:16" x14ac:dyDescent="0.3">
      <c r="A221" s="1">
        <v>35675</v>
      </c>
      <c r="B221">
        <v>58.176327000000001</v>
      </c>
      <c r="C221">
        <v>59.090668000000001</v>
      </c>
      <c r="D221">
        <v>58.133823</v>
      </c>
      <c r="E221">
        <v>58.941775999999997</v>
      </c>
      <c r="F221">
        <v>15.51951</v>
      </c>
      <c r="G221">
        <v>4245278</v>
      </c>
      <c r="O221" s="8" t="str">
        <f t="shared" si="3"/>
        <v>Profit</v>
      </c>
      <c r="P221" s="6" t="str">
        <f>IF(Table2[[#This Row],[Close]]&gt;Table2[[#This Row],[Open]],"profite","loss")</f>
        <v>profite</v>
      </c>
    </row>
    <row r="222" spans="1:16" x14ac:dyDescent="0.3">
      <c r="A222" s="1">
        <v>35676</v>
      </c>
      <c r="B222">
        <v>60.770454000000001</v>
      </c>
      <c r="C222">
        <v>61.025635000000001</v>
      </c>
      <c r="D222">
        <v>58.750481000000001</v>
      </c>
      <c r="E222">
        <v>58.856777000000001</v>
      </c>
      <c r="F222">
        <v>15.497128</v>
      </c>
      <c r="G222">
        <v>6720789</v>
      </c>
      <c r="O222" s="8" t="str">
        <f t="shared" si="3"/>
        <v>Loss</v>
      </c>
      <c r="P222" s="5" t="str">
        <f>IF(Table2[[#This Row],[Close]]&gt;Table2[[#This Row],[Open]],"profite","loss")</f>
        <v>loss</v>
      </c>
    </row>
    <row r="223" spans="1:16" x14ac:dyDescent="0.3">
      <c r="A223" s="1">
        <v>35677</v>
      </c>
      <c r="B223">
        <v>58.601601000000002</v>
      </c>
      <c r="C223">
        <v>59.196956999999998</v>
      </c>
      <c r="D223">
        <v>58.091312000000002</v>
      </c>
      <c r="E223">
        <v>59.111958000000001</v>
      </c>
      <c r="F223">
        <v>15.564317000000001</v>
      </c>
      <c r="G223">
        <v>2895109</v>
      </c>
      <c r="O223" s="8" t="str">
        <f t="shared" si="3"/>
        <v>Profit</v>
      </c>
      <c r="P223" s="6" t="str">
        <f>IF(Table2[[#This Row],[Close]]&gt;Table2[[#This Row],[Open]],"profite","loss")</f>
        <v>profite</v>
      </c>
    </row>
    <row r="224" spans="1:16" x14ac:dyDescent="0.3">
      <c r="A224" s="1">
        <v>35678</v>
      </c>
      <c r="B224">
        <v>59.111958000000001</v>
      </c>
      <c r="C224">
        <v>59.728523000000003</v>
      </c>
      <c r="D224">
        <v>58.792976000000003</v>
      </c>
      <c r="E224">
        <v>58.984360000000002</v>
      </c>
      <c r="F224">
        <v>15.530720000000001</v>
      </c>
      <c r="G224">
        <v>2566884</v>
      </c>
      <c r="O224" s="8" t="str">
        <f t="shared" si="3"/>
        <v>Loss</v>
      </c>
      <c r="P224" s="5" t="str">
        <f>IF(Table2[[#This Row],[Close]]&gt;Table2[[#This Row],[Open]],"profite","loss")</f>
        <v>loss</v>
      </c>
    </row>
    <row r="225" spans="1:16" x14ac:dyDescent="0.3">
      <c r="A225" s="1">
        <v>35681</v>
      </c>
      <c r="B225">
        <v>58.814278000000002</v>
      </c>
      <c r="C225">
        <v>60.005009000000001</v>
      </c>
      <c r="D225">
        <v>58.729179000000002</v>
      </c>
      <c r="E225">
        <v>59.919918000000003</v>
      </c>
      <c r="F225">
        <v>15.777056</v>
      </c>
      <c r="G225">
        <v>3893008</v>
      </c>
      <c r="O225" s="8" t="str">
        <f t="shared" si="3"/>
        <v>Profit</v>
      </c>
      <c r="P225" s="6" t="str">
        <f>IF(Table2[[#This Row],[Close]]&gt;Table2[[#This Row],[Open]],"profite","loss")</f>
        <v>profite</v>
      </c>
    </row>
    <row r="226" spans="1:16" x14ac:dyDescent="0.3">
      <c r="A226" s="1">
        <v>35682</v>
      </c>
      <c r="B226">
        <v>59.664814</v>
      </c>
      <c r="C226">
        <v>59.877406999999998</v>
      </c>
      <c r="D226">
        <v>59.196956999999998</v>
      </c>
      <c r="E226">
        <v>59.473438000000002</v>
      </c>
      <c r="F226">
        <v>15.659496000000001</v>
      </c>
      <c r="G226">
        <v>3521501</v>
      </c>
      <c r="O226" s="8" t="str">
        <f t="shared" si="3"/>
        <v>Loss</v>
      </c>
      <c r="P226" s="5" t="str">
        <f>IF(Table2[[#This Row],[Close]]&gt;Table2[[#This Row],[Open]],"profite","loss")</f>
        <v>loss</v>
      </c>
    </row>
    <row r="227" spans="1:16" x14ac:dyDescent="0.3">
      <c r="A227" s="1">
        <v>35683</v>
      </c>
      <c r="B227">
        <v>59.537230999999998</v>
      </c>
      <c r="C227">
        <v>60.387695000000001</v>
      </c>
      <c r="D227">
        <v>57.963734000000002</v>
      </c>
      <c r="E227">
        <v>57.963734000000002</v>
      </c>
      <c r="F227">
        <v>15.261984999999999</v>
      </c>
      <c r="G227">
        <v>15898489</v>
      </c>
      <c r="O227" s="8" t="str">
        <f t="shared" si="3"/>
        <v>Loss</v>
      </c>
      <c r="P227" s="6" t="str">
        <f>IF(Table2[[#This Row],[Close]]&gt;Table2[[#This Row],[Open]],"profite","loss")</f>
        <v>loss</v>
      </c>
    </row>
    <row r="228" spans="1:16" x14ac:dyDescent="0.3">
      <c r="A228" s="1">
        <v>35684</v>
      </c>
      <c r="B228">
        <v>57.410862000000002</v>
      </c>
      <c r="C228">
        <v>58.389004</v>
      </c>
      <c r="D228">
        <v>56.539116</v>
      </c>
      <c r="E228">
        <v>56.539116</v>
      </c>
      <c r="F228">
        <v>14.886884999999999</v>
      </c>
      <c r="G228">
        <v>5411498</v>
      </c>
      <c r="O228" s="8" t="str">
        <f t="shared" si="3"/>
        <v>Loss</v>
      </c>
      <c r="P228" s="5" t="str">
        <f>IF(Table2[[#This Row],[Close]]&gt;Table2[[#This Row],[Open]],"profite","loss")</f>
        <v>loss</v>
      </c>
    </row>
    <row r="229" spans="1:16" x14ac:dyDescent="0.3">
      <c r="A229" s="1">
        <v>35685</v>
      </c>
      <c r="B229">
        <v>56.347729000000001</v>
      </c>
      <c r="C229">
        <v>57.070686000000002</v>
      </c>
      <c r="D229">
        <v>54.093777000000003</v>
      </c>
      <c r="E229">
        <v>54.136364</v>
      </c>
      <c r="F229">
        <v>14.254231000000001</v>
      </c>
      <c r="G229">
        <v>7912257</v>
      </c>
      <c r="O229" s="8" t="str">
        <f t="shared" si="3"/>
        <v>Loss</v>
      </c>
      <c r="P229" s="6" t="str">
        <f>IF(Table2[[#This Row],[Close]]&gt;Table2[[#This Row],[Open]],"profite","loss")</f>
        <v>loss</v>
      </c>
    </row>
    <row r="230" spans="1:16" x14ac:dyDescent="0.3">
      <c r="A230" s="1">
        <v>35688</v>
      </c>
      <c r="B230">
        <v>55.199500999999998</v>
      </c>
      <c r="C230">
        <v>55.390887999999997</v>
      </c>
      <c r="D230">
        <v>54.008761999999997</v>
      </c>
      <c r="E230">
        <v>54.689132999999998</v>
      </c>
      <c r="F230">
        <v>14.399777</v>
      </c>
      <c r="G230">
        <v>7046609</v>
      </c>
      <c r="O230" s="8" t="str">
        <f t="shared" si="3"/>
        <v>Loss</v>
      </c>
      <c r="P230" s="5" t="str">
        <f>IF(Table2[[#This Row],[Close]]&gt;Table2[[#This Row],[Open]],"profite","loss")</f>
        <v>loss</v>
      </c>
    </row>
    <row r="231" spans="1:16" x14ac:dyDescent="0.3">
      <c r="A231" s="1">
        <v>35689</v>
      </c>
      <c r="B231">
        <v>54.646633000000001</v>
      </c>
      <c r="C231">
        <v>55.667278000000003</v>
      </c>
      <c r="D231">
        <v>54.434035999999999</v>
      </c>
      <c r="E231">
        <v>55.560982000000003</v>
      </c>
      <c r="F231">
        <v>14.629333000000001</v>
      </c>
      <c r="G231">
        <v>7317124</v>
      </c>
      <c r="O231" s="8" t="str">
        <f t="shared" si="3"/>
        <v>Profit</v>
      </c>
      <c r="P231" s="6" t="str">
        <f>IF(Table2[[#This Row],[Close]]&gt;Table2[[#This Row],[Open]],"profite","loss")</f>
        <v>profite</v>
      </c>
    </row>
    <row r="232" spans="1:16" x14ac:dyDescent="0.3">
      <c r="A232" s="1">
        <v>35690</v>
      </c>
      <c r="B232">
        <v>56.007454000000003</v>
      </c>
      <c r="C232">
        <v>57.198264999999999</v>
      </c>
      <c r="D232">
        <v>55.539679999999997</v>
      </c>
      <c r="E232">
        <v>56.602825000000003</v>
      </c>
      <c r="F232">
        <v>14.90366</v>
      </c>
      <c r="G232">
        <v>7413307</v>
      </c>
      <c r="O232" s="8" t="str">
        <f t="shared" si="3"/>
        <v>Profit</v>
      </c>
      <c r="P232" s="5" t="str">
        <f>IF(Table2[[#This Row],[Close]]&gt;Table2[[#This Row],[Open]],"profite","loss")</f>
        <v>profite</v>
      </c>
    </row>
    <row r="233" spans="1:16" x14ac:dyDescent="0.3">
      <c r="A233" s="1">
        <v>35691</v>
      </c>
      <c r="B233">
        <v>56.773003000000003</v>
      </c>
      <c r="C233">
        <v>57.240775999999997</v>
      </c>
      <c r="D233">
        <v>55.922459000000003</v>
      </c>
      <c r="E233">
        <v>56.496529000000002</v>
      </c>
      <c r="F233">
        <v>14.875669</v>
      </c>
      <c r="G233">
        <v>4132263</v>
      </c>
      <c r="O233" s="8" t="str">
        <f t="shared" si="3"/>
        <v>Loss</v>
      </c>
      <c r="P233" s="6" t="str">
        <f>IF(Table2[[#This Row],[Close]]&gt;Table2[[#This Row],[Open]],"profite","loss")</f>
        <v>loss</v>
      </c>
    </row>
    <row r="234" spans="1:16" x14ac:dyDescent="0.3">
      <c r="A234" s="1">
        <v>35692</v>
      </c>
      <c r="B234">
        <v>56.645412</v>
      </c>
      <c r="C234">
        <v>57.644756000000001</v>
      </c>
      <c r="D234">
        <v>56.262633999999998</v>
      </c>
      <c r="E234">
        <v>57.240775999999997</v>
      </c>
      <c r="F234">
        <v>15.071626999999999</v>
      </c>
      <c r="G234">
        <v>5713272</v>
      </c>
      <c r="O234" s="8" t="str">
        <f t="shared" si="3"/>
        <v>Profit</v>
      </c>
      <c r="P234" s="5" t="str">
        <f>IF(Table2[[#This Row],[Close]]&gt;Table2[[#This Row],[Open]],"profite","loss")</f>
        <v>profite</v>
      </c>
    </row>
    <row r="235" spans="1:16" x14ac:dyDescent="0.3">
      <c r="A235" s="1">
        <v>35695</v>
      </c>
      <c r="B235">
        <v>57.495956</v>
      </c>
      <c r="C235">
        <v>59.515929999999997</v>
      </c>
      <c r="D235">
        <v>57.453372999999999</v>
      </c>
      <c r="E235">
        <v>59.345847999999997</v>
      </c>
      <c r="F235">
        <v>15.625897999999999</v>
      </c>
      <c r="G235">
        <v>5266021</v>
      </c>
      <c r="O235" s="8" t="str">
        <f t="shared" si="3"/>
        <v>Profit</v>
      </c>
      <c r="P235" s="6" t="str">
        <f>IF(Table2[[#This Row],[Close]]&gt;Table2[[#This Row],[Open]],"profite","loss")</f>
        <v>profite</v>
      </c>
    </row>
    <row r="236" spans="1:16" x14ac:dyDescent="0.3">
      <c r="A236" s="1">
        <v>35696</v>
      </c>
      <c r="B236">
        <v>59.622227000000002</v>
      </c>
      <c r="C236">
        <v>59.962505</v>
      </c>
      <c r="D236">
        <v>58.963078000000003</v>
      </c>
      <c r="E236">
        <v>59.005580999999999</v>
      </c>
      <c r="F236">
        <v>15.536301999999999</v>
      </c>
      <c r="G236">
        <v>3582818</v>
      </c>
      <c r="O236" s="8" t="str">
        <f t="shared" si="3"/>
        <v>Loss</v>
      </c>
      <c r="P236" s="5" t="str">
        <f>IF(Table2[[#This Row],[Close]]&gt;Table2[[#This Row],[Open]],"profite","loss")</f>
        <v>loss</v>
      </c>
    </row>
    <row r="237" spans="1:16" x14ac:dyDescent="0.3">
      <c r="A237" s="1">
        <v>35697</v>
      </c>
      <c r="B237">
        <v>59.005580999999999</v>
      </c>
      <c r="C237">
        <v>61.578505999999997</v>
      </c>
      <c r="D237">
        <v>58.792976000000003</v>
      </c>
      <c r="E237">
        <v>61.323326000000002</v>
      </c>
      <c r="F237">
        <v>16.146576</v>
      </c>
      <c r="G237">
        <v>7783612</v>
      </c>
      <c r="O237" s="8" t="str">
        <f t="shared" si="3"/>
        <v>Profit</v>
      </c>
      <c r="P237" s="6" t="str">
        <f>IF(Table2[[#This Row],[Close]]&gt;Table2[[#This Row],[Open]],"profite","loss")</f>
        <v>profite</v>
      </c>
    </row>
    <row r="238" spans="1:16" x14ac:dyDescent="0.3">
      <c r="A238" s="1">
        <v>35698</v>
      </c>
      <c r="B238">
        <v>61.110649000000002</v>
      </c>
      <c r="C238">
        <v>61.876182999999997</v>
      </c>
      <c r="D238">
        <v>60.983131</v>
      </c>
      <c r="E238">
        <v>61.259529000000001</v>
      </c>
      <c r="F238">
        <v>16.129771999999999</v>
      </c>
      <c r="G238">
        <v>6538042</v>
      </c>
      <c r="O238" s="8" t="str">
        <f t="shared" si="3"/>
        <v>Profit</v>
      </c>
      <c r="P238" s="5" t="str">
        <f>IF(Table2[[#This Row],[Close]]&gt;Table2[[#This Row],[Open]],"profite","loss")</f>
        <v>profite</v>
      </c>
    </row>
    <row r="239" spans="1:16" x14ac:dyDescent="0.3">
      <c r="A239" s="1">
        <v>35699</v>
      </c>
      <c r="B239">
        <v>60.536574999999999</v>
      </c>
      <c r="C239">
        <v>61.089432000000002</v>
      </c>
      <c r="D239">
        <v>60.281395000000003</v>
      </c>
      <c r="E239">
        <v>61.068145999999999</v>
      </c>
      <c r="F239">
        <v>16.079386</v>
      </c>
      <c r="G239">
        <v>3853333</v>
      </c>
      <c r="O239" s="8" t="str">
        <f t="shared" si="3"/>
        <v>Profit</v>
      </c>
      <c r="P239" s="6" t="str">
        <f>IF(Table2[[#This Row],[Close]]&gt;Table2[[#This Row],[Open]],"profite","loss")</f>
        <v>profite</v>
      </c>
    </row>
    <row r="240" spans="1:16" x14ac:dyDescent="0.3">
      <c r="A240" s="1">
        <v>35702</v>
      </c>
      <c r="B240">
        <v>60.600372</v>
      </c>
      <c r="C240">
        <v>61.195728000000003</v>
      </c>
      <c r="D240">
        <v>60.217601999999999</v>
      </c>
      <c r="E240">
        <v>60.727955000000001</v>
      </c>
      <c r="F240">
        <v>15.989811</v>
      </c>
      <c r="G240">
        <v>1339348</v>
      </c>
      <c r="O240" s="8" t="str">
        <f t="shared" si="3"/>
        <v>Profit</v>
      </c>
      <c r="P240" s="5" t="str">
        <f>IF(Table2[[#This Row],[Close]]&gt;Table2[[#This Row],[Open]],"profite","loss")</f>
        <v>profite</v>
      </c>
    </row>
    <row r="241" spans="1:16" x14ac:dyDescent="0.3">
      <c r="A241" s="1">
        <v>35703</v>
      </c>
      <c r="B241">
        <v>61.004353000000002</v>
      </c>
      <c r="C241">
        <v>62.386467000000003</v>
      </c>
      <c r="D241">
        <v>61.004353000000002</v>
      </c>
      <c r="E241">
        <v>61.429622999999999</v>
      </c>
      <c r="F241">
        <v>16.174562000000002</v>
      </c>
      <c r="G241">
        <v>5187872</v>
      </c>
      <c r="O241" s="8" t="str">
        <f t="shared" si="3"/>
        <v>Profit</v>
      </c>
      <c r="P241" s="6" t="str">
        <f>IF(Table2[[#This Row],[Close]]&gt;Table2[[#This Row],[Open]],"profite","loss")</f>
        <v>profite</v>
      </c>
    </row>
    <row r="242" spans="1:16" x14ac:dyDescent="0.3">
      <c r="A242" s="1">
        <v>35704</v>
      </c>
      <c r="B242">
        <v>60.812964999999998</v>
      </c>
      <c r="C242">
        <v>62.492764000000001</v>
      </c>
      <c r="D242">
        <v>60.812964999999998</v>
      </c>
      <c r="E242">
        <v>62.471553999999998</v>
      </c>
      <c r="F242">
        <v>16.448906000000001</v>
      </c>
      <c r="G242">
        <v>3414497</v>
      </c>
      <c r="O242" s="8" t="str">
        <f t="shared" si="3"/>
        <v>Profit</v>
      </c>
      <c r="P242" s="5" t="str">
        <f>IF(Table2[[#This Row],[Close]]&gt;Table2[[#This Row],[Open]],"profite","loss")</f>
        <v>profite</v>
      </c>
    </row>
    <row r="243" spans="1:16" x14ac:dyDescent="0.3">
      <c r="A243" s="1">
        <v>35705</v>
      </c>
      <c r="B243">
        <v>62.599136000000001</v>
      </c>
      <c r="C243">
        <v>62.939326999999999</v>
      </c>
      <c r="D243">
        <v>61.302025</v>
      </c>
      <c r="E243">
        <v>61.642302999999998</v>
      </c>
      <c r="F243">
        <v>16.230564000000001</v>
      </c>
      <c r="G243">
        <v>4070947</v>
      </c>
      <c r="O243" s="8" t="str">
        <f t="shared" si="3"/>
        <v>Loss</v>
      </c>
      <c r="P243" s="6" t="str">
        <f>IF(Table2[[#This Row],[Close]]&gt;Table2[[#This Row],[Open]],"profite","loss")</f>
        <v>loss</v>
      </c>
    </row>
    <row r="244" spans="1:16" x14ac:dyDescent="0.3">
      <c r="A244" s="1">
        <v>35706</v>
      </c>
      <c r="B244">
        <v>61.642302999999998</v>
      </c>
      <c r="C244">
        <v>61.642302999999998</v>
      </c>
      <c r="D244">
        <v>61.642302999999998</v>
      </c>
      <c r="E244">
        <v>61.642302999999998</v>
      </c>
      <c r="F244">
        <v>16.230564000000001</v>
      </c>
      <c r="G244">
        <v>0</v>
      </c>
      <c r="O244" s="8" t="str">
        <f t="shared" si="3"/>
        <v>No Change</v>
      </c>
      <c r="P244" s="5" t="str">
        <f>IF(Table2[[#This Row],[Close]]&gt;Table2[[#This Row],[Open]],"profite","loss")</f>
        <v>loss</v>
      </c>
    </row>
    <row r="245" spans="1:16" x14ac:dyDescent="0.3">
      <c r="A245" s="1">
        <v>35709</v>
      </c>
      <c r="B245">
        <v>61.684803000000002</v>
      </c>
      <c r="C245">
        <v>61.812385999999996</v>
      </c>
      <c r="D245">
        <v>61.110649000000002</v>
      </c>
      <c r="E245">
        <v>61.280822999999998</v>
      </c>
      <c r="F245">
        <v>16.135386</v>
      </c>
      <c r="G245">
        <v>3580413</v>
      </c>
      <c r="O245" s="8" t="str">
        <f t="shared" si="3"/>
        <v>Loss</v>
      </c>
      <c r="P245" s="6" t="str">
        <f>IF(Table2[[#This Row],[Close]]&gt;Table2[[#This Row],[Open]],"profite","loss")</f>
        <v>loss</v>
      </c>
    </row>
    <row r="246" spans="1:16" x14ac:dyDescent="0.3">
      <c r="A246" s="1">
        <v>35710</v>
      </c>
      <c r="B246">
        <v>61.238239</v>
      </c>
      <c r="C246">
        <v>61.238239</v>
      </c>
      <c r="D246">
        <v>59.537230999999998</v>
      </c>
      <c r="E246">
        <v>60.153796999999997</v>
      </c>
      <c r="F246">
        <v>15.838634000000001</v>
      </c>
      <c r="G246">
        <v>4209210</v>
      </c>
      <c r="O246" s="8" t="str">
        <f t="shared" si="3"/>
        <v>Loss</v>
      </c>
      <c r="P246" s="5" t="str">
        <f>IF(Table2[[#This Row],[Close]]&gt;Table2[[#This Row],[Open]],"profite","loss")</f>
        <v>loss</v>
      </c>
    </row>
    <row r="247" spans="1:16" x14ac:dyDescent="0.3">
      <c r="A247" s="1">
        <v>35711</v>
      </c>
      <c r="B247">
        <v>60.685375000000001</v>
      </c>
      <c r="C247">
        <v>60.940548</v>
      </c>
      <c r="D247">
        <v>57.878642999999997</v>
      </c>
      <c r="E247">
        <v>58.133823</v>
      </c>
      <c r="F247">
        <v>15.30677</v>
      </c>
      <c r="G247">
        <v>6623404</v>
      </c>
      <c r="O247" s="8" t="str">
        <f t="shared" si="3"/>
        <v>Loss</v>
      </c>
      <c r="P247" s="6" t="str">
        <f>IF(Table2[[#This Row],[Close]]&gt;Table2[[#This Row],[Open]],"profite","loss")</f>
        <v>loss</v>
      </c>
    </row>
    <row r="248" spans="1:16" x14ac:dyDescent="0.3">
      <c r="A248" s="1">
        <v>35712</v>
      </c>
      <c r="B248">
        <v>57.921230000000001</v>
      </c>
      <c r="C248">
        <v>59.260750000000002</v>
      </c>
      <c r="D248">
        <v>56.900500999999998</v>
      </c>
      <c r="E248">
        <v>57.751052999999999</v>
      </c>
      <c r="F248">
        <v>15.205988</v>
      </c>
      <c r="G248">
        <v>6447870</v>
      </c>
      <c r="O248" s="8" t="str">
        <f t="shared" si="3"/>
        <v>Loss</v>
      </c>
      <c r="P248" s="5" t="str">
        <f>IF(Table2[[#This Row],[Close]]&gt;Table2[[#This Row],[Open]],"profite","loss")</f>
        <v>loss</v>
      </c>
    </row>
    <row r="249" spans="1:16" x14ac:dyDescent="0.3">
      <c r="A249" s="1">
        <v>35713</v>
      </c>
      <c r="B249">
        <v>58.218910000000001</v>
      </c>
      <c r="C249">
        <v>58.474003000000003</v>
      </c>
      <c r="D249">
        <v>57.410862000000002</v>
      </c>
      <c r="E249">
        <v>57.432163000000003</v>
      </c>
      <c r="F249">
        <v>15.122025000000001</v>
      </c>
      <c r="G249">
        <v>4290965</v>
      </c>
      <c r="O249" s="8" t="str">
        <f t="shared" si="3"/>
        <v>Loss</v>
      </c>
      <c r="P249" s="6" t="str">
        <f>IF(Table2[[#This Row],[Close]]&gt;Table2[[#This Row],[Open]],"profite","loss")</f>
        <v>loss</v>
      </c>
    </row>
    <row r="250" spans="1:16" x14ac:dyDescent="0.3">
      <c r="A250" s="1">
        <v>35716</v>
      </c>
      <c r="B250">
        <v>57.921230000000001</v>
      </c>
      <c r="C250">
        <v>59.026871</v>
      </c>
      <c r="D250">
        <v>57.836136000000003</v>
      </c>
      <c r="E250">
        <v>58.197612999999997</v>
      </c>
      <c r="F250">
        <v>15.323567000000001</v>
      </c>
      <c r="G250">
        <v>2892704</v>
      </c>
      <c r="O250" s="8" t="str">
        <f t="shared" si="3"/>
        <v>Profit</v>
      </c>
      <c r="P250" s="5" t="str">
        <f>IF(Table2[[#This Row],[Close]]&gt;Table2[[#This Row],[Open]],"profite","loss")</f>
        <v>profite</v>
      </c>
    </row>
    <row r="251" spans="1:16" x14ac:dyDescent="0.3">
      <c r="A251" s="1">
        <v>35717</v>
      </c>
      <c r="B251">
        <v>58.686680000000003</v>
      </c>
      <c r="C251">
        <v>58.686680000000003</v>
      </c>
      <c r="D251">
        <v>57.028098999999997</v>
      </c>
      <c r="E251">
        <v>57.113177999999998</v>
      </c>
      <c r="F251">
        <v>15.038031</v>
      </c>
      <c r="G251">
        <v>3409688</v>
      </c>
      <c r="O251" s="8" t="str">
        <f t="shared" si="3"/>
        <v>Loss</v>
      </c>
      <c r="P251" s="6" t="str">
        <f>IF(Table2[[#This Row],[Close]]&gt;Table2[[#This Row],[Open]],"profite","loss")</f>
        <v>loss</v>
      </c>
    </row>
    <row r="252" spans="1:16" x14ac:dyDescent="0.3">
      <c r="A252" s="1">
        <v>35718</v>
      </c>
      <c r="B252">
        <v>56.815505999999999</v>
      </c>
      <c r="C252">
        <v>57.772345999999999</v>
      </c>
      <c r="D252">
        <v>56.539116</v>
      </c>
      <c r="E252">
        <v>56.964306000000001</v>
      </c>
      <c r="F252">
        <v>14.998837</v>
      </c>
      <c r="G252">
        <v>5278044</v>
      </c>
      <c r="O252" s="8" t="str">
        <f t="shared" si="3"/>
        <v>Profit</v>
      </c>
      <c r="P252" s="5" t="str">
        <f>IF(Table2[[#This Row],[Close]]&gt;Table2[[#This Row],[Open]],"profite","loss")</f>
        <v>profite</v>
      </c>
    </row>
    <row r="253" spans="1:16" x14ac:dyDescent="0.3">
      <c r="A253" s="1">
        <v>35719</v>
      </c>
      <c r="B253">
        <v>57.113177999999998</v>
      </c>
      <c r="C253">
        <v>57.623539000000001</v>
      </c>
      <c r="D253">
        <v>56.560326000000003</v>
      </c>
      <c r="E253">
        <v>57.559753000000001</v>
      </c>
      <c r="F253">
        <v>15.155618</v>
      </c>
      <c r="G253">
        <v>4260908</v>
      </c>
      <c r="O253" s="8" t="str">
        <f t="shared" si="3"/>
        <v>Profit</v>
      </c>
      <c r="P253" s="6" t="str">
        <f>IF(Table2[[#This Row],[Close]]&gt;Table2[[#This Row],[Open]],"profite","loss")</f>
        <v>profite</v>
      </c>
    </row>
    <row r="254" spans="1:16" x14ac:dyDescent="0.3">
      <c r="A254" s="1">
        <v>35720</v>
      </c>
      <c r="B254">
        <v>57.198264999999999</v>
      </c>
      <c r="C254">
        <v>57.389575999999998</v>
      </c>
      <c r="D254">
        <v>55.752364999999998</v>
      </c>
      <c r="E254">
        <v>56.368931000000003</v>
      </c>
      <c r="F254">
        <v>14.842069</v>
      </c>
      <c r="G254">
        <v>5174647</v>
      </c>
      <c r="O254" s="8" t="str">
        <f t="shared" si="3"/>
        <v>Loss</v>
      </c>
      <c r="P254" s="5" t="str">
        <f>IF(Table2[[#This Row],[Close]]&gt;Table2[[#This Row],[Open]],"profite","loss")</f>
        <v>loss</v>
      </c>
    </row>
    <row r="255" spans="1:16" x14ac:dyDescent="0.3">
      <c r="A255" s="1">
        <v>35723</v>
      </c>
      <c r="B255">
        <v>56.454025000000001</v>
      </c>
      <c r="C255">
        <v>56.687904000000003</v>
      </c>
      <c r="D255">
        <v>55.284508000000002</v>
      </c>
      <c r="E255">
        <v>56.198849000000003</v>
      </c>
      <c r="F255">
        <v>14.797291</v>
      </c>
      <c r="G255">
        <v>3763161</v>
      </c>
      <c r="O255" s="8" t="str">
        <f t="shared" si="3"/>
        <v>Loss</v>
      </c>
      <c r="P255" s="6" t="str">
        <f>IF(Table2[[#This Row],[Close]]&gt;Table2[[#This Row],[Open]],"profite","loss")</f>
        <v>loss</v>
      </c>
    </row>
    <row r="256" spans="1:16" x14ac:dyDescent="0.3">
      <c r="A256" s="1">
        <v>35724</v>
      </c>
      <c r="B256">
        <v>56.645412</v>
      </c>
      <c r="C256">
        <v>57.580952000000003</v>
      </c>
      <c r="D256">
        <v>56.241432000000003</v>
      </c>
      <c r="E256">
        <v>57.368358999999998</v>
      </c>
      <c r="F256">
        <v>15.105224</v>
      </c>
      <c r="G256">
        <v>3483028</v>
      </c>
      <c r="O256" s="8" t="str">
        <f t="shared" si="3"/>
        <v>Profit</v>
      </c>
      <c r="P256" s="5" t="str">
        <f>IF(Table2[[#This Row],[Close]]&gt;Table2[[#This Row],[Open]],"profite","loss")</f>
        <v>profite</v>
      </c>
    </row>
    <row r="257" spans="1:16" x14ac:dyDescent="0.3">
      <c r="A257" s="1">
        <v>35725</v>
      </c>
      <c r="B257">
        <v>57.198264999999999</v>
      </c>
      <c r="C257">
        <v>58.155109000000003</v>
      </c>
      <c r="D257">
        <v>56.390231999999997</v>
      </c>
      <c r="E257">
        <v>56.390231999999997</v>
      </c>
      <c r="F257">
        <v>14.84768</v>
      </c>
      <c r="G257">
        <v>5954932</v>
      </c>
      <c r="O257" s="8" t="str">
        <f t="shared" si="3"/>
        <v>Loss</v>
      </c>
      <c r="P257" s="6" t="str">
        <f>IF(Table2[[#This Row],[Close]]&gt;Table2[[#This Row],[Open]],"profite","loss")</f>
        <v>loss</v>
      </c>
    </row>
    <row r="258" spans="1:16" x14ac:dyDescent="0.3">
      <c r="A258" s="1">
        <v>35726</v>
      </c>
      <c r="B258">
        <v>56.347729000000001</v>
      </c>
      <c r="C258">
        <v>56.347729000000001</v>
      </c>
      <c r="D258">
        <v>52.945549</v>
      </c>
      <c r="E258">
        <v>53.392116999999999</v>
      </c>
      <c r="F258">
        <v>14.058271</v>
      </c>
      <c r="G258">
        <v>9546166</v>
      </c>
      <c r="O258" s="8" t="str">
        <f t="shared" si="3"/>
        <v>Loss</v>
      </c>
      <c r="P258" s="5" t="str">
        <f>IF(Table2[[#This Row],[Close]]&gt;Table2[[#This Row],[Open]],"profite","loss")</f>
        <v>loss</v>
      </c>
    </row>
    <row r="259" spans="1:16" x14ac:dyDescent="0.3">
      <c r="A259" s="1">
        <v>35727</v>
      </c>
      <c r="B259">
        <v>53.923682999999997</v>
      </c>
      <c r="C259">
        <v>55.816158000000001</v>
      </c>
      <c r="D259">
        <v>53.796084999999998</v>
      </c>
      <c r="E259">
        <v>54.582836</v>
      </c>
      <c r="F259">
        <v>14.371791</v>
      </c>
      <c r="G259">
        <v>5142185</v>
      </c>
      <c r="O259" s="8" t="str">
        <f t="shared" ref="O259:O322" si="4">IF(E259&gt;B259,"Profit",IF(E259&lt;B259,"Loss","No Change"))</f>
        <v>Profit</v>
      </c>
      <c r="P259" s="6" t="str">
        <f>IF(Table2[[#This Row],[Close]]&gt;Table2[[#This Row],[Open]],"profite","loss")</f>
        <v>profite</v>
      </c>
    </row>
    <row r="260" spans="1:16" x14ac:dyDescent="0.3">
      <c r="A260" s="1">
        <v>35730</v>
      </c>
      <c r="B260">
        <v>53.264519</v>
      </c>
      <c r="C260">
        <v>54.008761999999997</v>
      </c>
      <c r="D260">
        <v>52.009990999999999</v>
      </c>
      <c r="E260">
        <v>52.201385000000002</v>
      </c>
      <c r="F260">
        <v>13.744743</v>
      </c>
      <c r="G260">
        <v>6212222</v>
      </c>
      <c r="O260" s="8" t="str">
        <f t="shared" si="4"/>
        <v>Loss</v>
      </c>
      <c r="P260" s="5" t="str">
        <f>IF(Table2[[#This Row],[Close]]&gt;Table2[[#This Row],[Open]],"profite","loss")</f>
        <v>loss</v>
      </c>
    </row>
    <row r="261" spans="1:16" x14ac:dyDescent="0.3">
      <c r="A261" s="1">
        <v>35731</v>
      </c>
      <c r="B261">
        <v>48.480311999999998</v>
      </c>
      <c r="C261">
        <v>49.288272999999997</v>
      </c>
      <c r="D261">
        <v>45.779881000000003</v>
      </c>
      <c r="E261">
        <v>48.480311999999998</v>
      </c>
      <c r="F261">
        <v>12.764979</v>
      </c>
      <c r="G261">
        <v>14952855</v>
      </c>
      <c r="O261" s="8" t="str">
        <f t="shared" si="4"/>
        <v>No Change</v>
      </c>
      <c r="P261" s="6" t="str">
        <f>IF(Table2[[#This Row],[Close]]&gt;Table2[[#This Row],[Open]],"profite","loss")</f>
        <v>loss</v>
      </c>
    </row>
    <row r="262" spans="1:16" x14ac:dyDescent="0.3">
      <c r="A262" s="1">
        <v>35732</v>
      </c>
      <c r="B262">
        <v>49.543446000000003</v>
      </c>
      <c r="C262">
        <v>51.542225000000002</v>
      </c>
      <c r="D262">
        <v>49.415863000000002</v>
      </c>
      <c r="E262">
        <v>50.2239</v>
      </c>
      <c r="F262">
        <v>13.224069999999999</v>
      </c>
      <c r="G262">
        <v>7128365</v>
      </c>
      <c r="O262" s="8" t="str">
        <f t="shared" si="4"/>
        <v>Profit</v>
      </c>
      <c r="P262" s="5" t="str">
        <f>IF(Table2[[#This Row],[Close]]&gt;Table2[[#This Row],[Open]],"profite","loss")</f>
        <v>profite</v>
      </c>
    </row>
    <row r="263" spans="1:16" x14ac:dyDescent="0.3">
      <c r="A263" s="1">
        <v>35733</v>
      </c>
      <c r="B263">
        <v>48.735492999999998</v>
      </c>
      <c r="C263">
        <v>49.24577</v>
      </c>
      <c r="D263">
        <v>46.821728</v>
      </c>
      <c r="E263">
        <v>48.416519000000001</v>
      </c>
      <c r="F263">
        <v>12.748181000000001</v>
      </c>
      <c r="G263">
        <v>9498075</v>
      </c>
      <c r="O263" s="8" t="str">
        <f t="shared" si="4"/>
        <v>Loss</v>
      </c>
      <c r="P263" s="6" t="str">
        <f>IF(Table2[[#This Row],[Close]]&gt;Table2[[#This Row],[Open]],"profite","loss")</f>
        <v>loss</v>
      </c>
    </row>
    <row r="264" spans="1:16" x14ac:dyDescent="0.3">
      <c r="A264" s="1">
        <v>35734</v>
      </c>
      <c r="B264">
        <v>48.692909</v>
      </c>
      <c r="C264">
        <v>50.393996999999999</v>
      </c>
      <c r="D264">
        <v>48.055042</v>
      </c>
      <c r="E264">
        <v>49.24577</v>
      </c>
      <c r="F264">
        <v>12.966525000000001</v>
      </c>
      <c r="G264">
        <v>7919471</v>
      </c>
      <c r="O264" s="8" t="str">
        <f t="shared" si="4"/>
        <v>Profit</v>
      </c>
      <c r="P264" s="5" t="str">
        <f>IF(Table2[[#This Row],[Close]]&gt;Table2[[#This Row],[Open]],"profite","loss")</f>
        <v>profite</v>
      </c>
    </row>
    <row r="265" spans="1:16" x14ac:dyDescent="0.3">
      <c r="A265" s="1">
        <v>35737</v>
      </c>
      <c r="B265">
        <v>49.968727000000001</v>
      </c>
      <c r="C265">
        <v>51.244534000000002</v>
      </c>
      <c r="D265">
        <v>49.968727000000001</v>
      </c>
      <c r="E265">
        <v>50.904266</v>
      </c>
      <c r="F265">
        <v>13.403214</v>
      </c>
      <c r="G265">
        <v>5134972</v>
      </c>
      <c r="O265" s="8" t="str">
        <f t="shared" si="4"/>
        <v>Profit</v>
      </c>
      <c r="P265" s="6" t="str">
        <f>IF(Table2[[#This Row],[Close]]&gt;Table2[[#This Row],[Open]],"profite","loss")</f>
        <v>profite</v>
      </c>
    </row>
    <row r="266" spans="1:16" x14ac:dyDescent="0.3">
      <c r="A266" s="1">
        <v>35738</v>
      </c>
      <c r="B266">
        <v>51.244534000000002</v>
      </c>
      <c r="C266">
        <v>51.776111999999998</v>
      </c>
      <c r="D266">
        <v>49.819842999999999</v>
      </c>
      <c r="E266">
        <v>49.883628999999999</v>
      </c>
      <c r="F266">
        <v>13.134475999999999</v>
      </c>
      <c r="G266">
        <v>4741823</v>
      </c>
      <c r="O266" s="8" t="str">
        <f t="shared" si="4"/>
        <v>Loss</v>
      </c>
      <c r="P266" s="5" t="str">
        <f>IF(Table2[[#This Row],[Close]]&gt;Table2[[#This Row],[Open]],"profite","loss")</f>
        <v>loss</v>
      </c>
    </row>
    <row r="267" spans="1:16" x14ac:dyDescent="0.3">
      <c r="A267" s="1">
        <v>35739</v>
      </c>
      <c r="B267">
        <v>50.457787000000003</v>
      </c>
      <c r="C267">
        <v>51.201957999999998</v>
      </c>
      <c r="D267">
        <v>49.862426999999997</v>
      </c>
      <c r="E267">
        <v>49.968727000000001</v>
      </c>
      <c r="F267">
        <v>13.156882</v>
      </c>
      <c r="G267">
        <v>3795623</v>
      </c>
      <c r="O267" s="8" t="str">
        <f t="shared" si="4"/>
        <v>Loss</v>
      </c>
      <c r="P267" s="6" t="str">
        <f>IF(Table2[[#This Row],[Close]]&gt;Table2[[#This Row],[Open]],"profite","loss")</f>
        <v>loss</v>
      </c>
    </row>
    <row r="268" spans="1:16" x14ac:dyDescent="0.3">
      <c r="A268" s="1">
        <v>35740</v>
      </c>
      <c r="B268">
        <v>49.841137000000003</v>
      </c>
      <c r="C268">
        <v>50.160110000000003</v>
      </c>
      <c r="D268">
        <v>48.820498999999998</v>
      </c>
      <c r="E268">
        <v>49.203270000000003</v>
      </c>
      <c r="F268">
        <v>12.955337999999999</v>
      </c>
      <c r="G268">
        <v>2581312</v>
      </c>
      <c r="O268" s="8" t="str">
        <f t="shared" si="4"/>
        <v>Loss</v>
      </c>
      <c r="P268" s="5" t="str">
        <f>IF(Table2[[#This Row],[Close]]&gt;Table2[[#This Row],[Open]],"profite","loss")</f>
        <v>loss</v>
      </c>
    </row>
    <row r="269" spans="1:16" x14ac:dyDescent="0.3">
      <c r="A269" s="1">
        <v>35741</v>
      </c>
      <c r="B269">
        <v>48.480311999999998</v>
      </c>
      <c r="C269">
        <v>48.480311999999998</v>
      </c>
      <c r="D269">
        <v>46.991894000000002</v>
      </c>
      <c r="E269">
        <v>47.629767999999999</v>
      </c>
      <c r="F269">
        <v>12.541031</v>
      </c>
      <c r="G269">
        <v>6479130</v>
      </c>
      <c r="O269" s="8" t="str">
        <f t="shared" si="4"/>
        <v>Loss</v>
      </c>
      <c r="P269" s="6" t="str">
        <f>IF(Table2[[#This Row],[Close]]&gt;Table2[[#This Row],[Open]],"profite","loss")</f>
        <v>loss</v>
      </c>
    </row>
    <row r="270" spans="1:16" x14ac:dyDescent="0.3">
      <c r="A270" s="1">
        <v>35744</v>
      </c>
      <c r="B270">
        <v>47.629767999999999</v>
      </c>
      <c r="C270">
        <v>47.884940999999998</v>
      </c>
      <c r="D270">
        <v>46.460251</v>
      </c>
      <c r="E270">
        <v>46.651626999999998</v>
      </c>
      <c r="F270">
        <v>12.283484</v>
      </c>
      <c r="G270">
        <v>4674495</v>
      </c>
      <c r="O270" s="8" t="str">
        <f t="shared" si="4"/>
        <v>Loss</v>
      </c>
      <c r="P270" s="5" t="str">
        <f>IF(Table2[[#This Row],[Close]]&gt;Table2[[#This Row],[Open]],"profite","loss")</f>
        <v>loss</v>
      </c>
    </row>
    <row r="271" spans="1:16" x14ac:dyDescent="0.3">
      <c r="A271" s="1">
        <v>35745</v>
      </c>
      <c r="B271">
        <v>46.353951000000002</v>
      </c>
      <c r="C271">
        <v>47.523471999999998</v>
      </c>
      <c r="D271">
        <v>46.247653999999997</v>
      </c>
      <c r="E271">
        <v>47.332076999999998</v>
      </c>
      <c r="F271">
        <v>12.462643</v>
      </c>
      <c r="G271">
        <v>7012945</v>
      </c>
      <c r="O271" s="8" t="str">
        <f t="shared" si="4"/>
        <v>Profit</v>
      </c>
      <c r="P271" s="6" t="str">
        <f>IF(Table2[[#This Row],[Close]]&gt;Table2[[#This Row],[Open]],"profite","loss")</f>
        <v>profite</v>
      </c>
    </row>
    <row r="272" spans="1:16" x14ac:dyDescent="0.3">
      <c r="A272" s="1">
        <v>35746</v>
      </c>
      <c r="B272">
        <v>46.481541</v>
      </c>
      <c r="C272">
        <v>47.374588000000003</v>
      </c>
      <c r="D272">
        <v>46.22636</v>
      </c>
      <c r="E272">
        <v>47.204487</v>
      </c>
      <c r="F272">
        <v>12.42905</v>
      </c>
      <c r="G272">
        <v>5635123</v>
      </c>
      <c r="O272" s="8" t="str">
        <f t="shared" si="4"/>
        <v>Profit</v>
      </c>
      <c r="P272" s="5" t="str">
        <f>IF(Table2[[#This Row],[Close]]&gt;Table2[[#This Row],[Open]],"profite","loss")</f>
        <v>profite</v>
      </c>
    </row>
    <row r="273" spans="1:16" x14ac:dyDescent="0.3">
      <c r="A273" s="1">
        <v>35747</v>
      </c>
      <c r="B273">
        <v>46.779223999999999</v>
      </c>
      <c r="C273">
        <v>48.799205999999998</v>
      </c>
      <c r="D273">
        <v>46.779223999999999</v>
      </c>
      <c r="E273">
        <v>48.544102000000002</v>
      </c>
      <c r="F273">
        <v>12.781775</v>
      </c>
      <c r="G273">
        <v>5397070</v>
      </c>
      <c r="O273" s="8" t="str">
        <f t="shared" si="4"/>
        <v>Profit</v>
      </c>
      <c r="P273" s="6" t="str">
        <f>IF(Table2[[#This Row],[Close]]&gt;Table2[[#This Row],[Open]],"profite","loss")</f>
        <v>profite</v>
      </c>
    </row>
    <row r="274" spans="1:16" x14ac:dyDescent="0.3">
      <c r="A274" s="1">
        <v>35748</v>
      </c>
      <c r="B274">
        <v>48.905579000000003</v>
      </c>
      <c r="C274">
        <v>49.926223999999998</v>
      </c>
      <c r="D274">
        <v>47.417090999999999</v>
      </c>
      <c r="E274">
        <v>47.459674999999997</v>
      </c>
      <c r="F274">
        <v>12.496243</v>
      </c>
      <c r="G274">
        <v>6777297</v>
      </c>
      <c r="O274" s="8" t="str">
        <f t="shared" si="4"/>
        <v>Loss</v>
      </c>
      <c r="P274" s="5" t="str">
        <f>IF(Table2[[#This Row],[Close]]&gt;Table2[[#This Row],[Open]],"profite","loss")</f>
        <v>loss</v>
      </c>
    </row>
    <row r="275" spans="1:16" x14ac:dyDescent="0.3">
      <c r="A275" s="1">
        <v>35751</v>
      </c>
      <c r="B275">
        <v>48.820498999999998</v>
      </c>
      <c r="C275">
        <v>50.053814000000003</v>
      </c>
      <c r="D275">
        <v>48.777988000000001</v>
      </c>
      <c r="E275">
        <v>49.947432999999997</v>
      </c>
      <c r="F275">
        <v>13.151272000000001</v>
      </c>
      <c r="G275">
        <v>5881592</v>
      </c>
      <c r="O275" s="8" t="str">
        <f t="shared" si="4"/>
        <v>Profit</v>
      </c>
      <c r="P275" s="6" t="str">
        <f>IF(Table2[[#This Row],[Close]]&gt;Table2[[#This Row],[Open]],"profite","loss")</f>
        <v>profite</v>
      </c>
    </row>
    <row r="276" spans="1:16" x14ac:dyDescent="0.3">
      <c r="A276" s="1">
        <v>35752</v>
      </c>
      <c r="B276">
        <v>49.883628999999999</v>
      </c>
      <c r="C276">
        <v>50.606594000000001</v>
      </c>
      <c r="D276">
        <v>49.607246000000004</v>
      </c>
      <c r="E276">
        <v>50.053814000000003</v>
      </c>
      <c r="F276">
        <v>13.179281</v>
      </c>
      <c r="G276">
        <v>4165927</v>
      </c>
      <c r="O276" s="8" t="str">
        <f t="shared" si="4"/>
        <v>Profit</v>
      </c>
      <c r="P276" s="5" t="str">
        <f>IF(Table2[[#This Row],[Close]]&gt;Table2[[#This Row],[Open]],"profite","loss")</f>
        <v>profite</v>
      </c>
    </row>
    <row r="277" spans="1:16" x14ac:dyDescent="0.3">
      <c r="A277" s="1">
        <v>35753</v>
      </c>
      <c r="B277">
        <v>49.330849000000001</v>
      </c>
      <c r="C277">
        <v>50.734183999999999</v>
      </c>
      <c r="D277">
        <v>48.905579000000003</v>
      </c>
      <c r="E277">
        <v>50.372706999999998</v>
      </c>
      <c r="F277">
        <v>13.263249</v>
      </c>
      <c r="G277">
        <v>3575604</v>
      </c>
      <c r="O277" s="8" t="str">
        <f t="shared" si="4"/>
        <v>Profit</v>
      </c>
      <c r="P277" s="6" t="str">
        <f>IF(Table2[[#This Row],[Close]]&gt;Table2[[#This Row],[Open]],"profite","loss")</f>
        <v>profite</v>
      </c>
    </row>
    <row r="278" spans="1:16" x14ac:dyDescent="0.3">
      <c r="A278" s="1">
        <v>35754</v>
      </c>
      <c r="B278">
        <v>50.819271000000001</v>
      </c>
      <c r="C278">
        <v>51.159453999999997</v>
      </c>
      <c r="D278">
        <v>50.308909999999997</v>
      </c>
      <c r="E278">
        <v>50.564082999999997</v>
      </c>
      <c r="F278">
        <v>13.313637999999999</v>
      </c>
      <c r="G278">
        <v>4240469</v>
      </c>
      <c r="O278" s="8" t="str">
        <f t="shared" si="4"/>
        <v>Loss</v>
      </c>
      <c r="P278" s="5" t="str">
        <f>IF(Table2[[#This Row],[Close]]&gt;Table2[[#This Row],[Open]],"profite","loss")</f>
        <v>loss</v>
      </c>
    </row>
    <row r="279" spans="1:16" x14ac:dyDescent="0.3">
      <c r="A279" s="1">
        <v>35755</v>
      </c>
      <c r="B279">
        <v>51.244534000000002</v>
      </c>
      <c r="C279">
        <v>51.669815</v>
      </c>
      <c r="D279">
        <v>50.691681000000003</v>
      </c>
      <c r="E279">
        <v>50.861773999999997</v>
      </c>
      <c r="F279">
        <v>13.392022000000001</v>
      </c>
      <c r="G279">
        <v>4938999</v>
      </c>
      <c r="O279" s="8" t="str">
        <f t="shared" si="4"/>
        <v>Loss</v>
      </c>
      <c r="P279" s="6" t="str">
        <f>IF(Table2[[#This Row],[Close]]&gt;Table2[[#This Row],[Open]],"profite","loss")</f>
        <v>loss</v>
      </c>
    </row>
    <row r="280" spans="1:16" x14ac:dyDescent="0.3">
      <c r="A280" s="1">
        <v>35758</v>
      </c>
      <c r="B280">
        <v>51.031863999999999</v>
      </c>
      <c r="C280">
        <v>51.031863999999999</v>
      </c>
      <c r="D280">
        <v>48.926796000000003</v>
      </c>
      <c r="E280">
        <v>49.160682999999999</v>
      </c>
      <c r="F280">
        <v>12.944122</v>
      </c>
      <c r="G280">
        <v>2908334</v>
      </c>
      <c r="O280" s="8" t="str">
        <f t="shared" si="4"/>
        <v>Loss</v>
      </c>
      <c r="P280" s="5" t="str">
        <f>IF(Table2[[#This Row],[Close]]&gt;Table2[[#This Row],[Open]],"profite","loss")</f>
        <v>loss</v>
      </c>
    </row>
    <row r="281" spans="1:16" x14ac:dyDescent="0.3">
      <c r="A281" s="1">
        <v>35759</v>
      </c>
      <c r="B281">
        <v>48.905579000000003</v>
      </c>
      <c r="C281">
        <v>50.245113000000003</v>
      </c>
      <c r="D281">
        <v>48.905579000000003</v>
      </c>
      <c r="E281">
        <v>50.117516000000002</v>
      </c>
      <c r="F281">
        <v>13.196058000000001</v>
      </c>
      <c r="G281">
        <v>871658</v>
      </c>
      <c r="O281" s="8" t="str">
        <f t="shared" si="4"/>
        <v>Profit</v>
      </c>
      <c r="P281" s="6" t="str">
        <f>IF(Table2[[#This Row],[Close]]&gt;Table2[[#This Row],[Open]],"profite","loss")</f>
        <v>profite</v>
      </c>
    </row>
    <row r="282" spans="1:16" x14ac:dyDescent="0.3">
      <c r="A282" s="1">
        <v>35760</v>
      </c>
      <c r="B282">
        <v>50.819271000000001</v>
      </c>
      <c r="C282">
        <v>52.775458999999998</v>
      </c>
      <c r="D282">
        <v>50.819271000000001</v>
      </c>
      <c r="E282">
        <v>52.732956000000001</v>
      </c>
      <c r="F282">
        <v>13.884712</v>
      </c>
      <c r="G282">
        <v>1917649</v>
      </c>
      <c r="O282" s="8" t="str">
        <f t="shared" si="4"/>
        <v>Profit</v>
      </c>
      <c r="P282" s="5" t="str">
        <f>IF(Table2[[#This Row],[Close]]&gt;Table2[[#This Row],[Open]],"profite","loss")</f>
        <v>profite</v>
      </c>
    </row>
    <row r="283" spans="1:16" x14ac:dyDescent="0.3">
      <c r="A283" s="1">
        <v>35761</v>
      </c>
      <c r="B283">
        <v>53.158217999999998</v>
      </c>
      <c r="C283">
        <v>53.817386999999997</v>
      </c>
      <c r="D283">
        <v>53.094433000000002</v>
      </c>
      <c r="E283">
        <v>53.136929000000002</v>
      </c>
      <c r="F283">
        <v>13.991078999999999</v>
      </c>
      <c r="G283">
        <v>896906</v>
      </c>
      <c r="O283" s="8" t="str">
        <f t="shared" si="4"/>
        <v>Loss</v>
      </c>
      <c r="P283" s="6" t="str">
        <f>IF(Table2[[#This Row],[Close]]&gt;Table2[[#This Row],[Open]],"profite","loss")</f>
        <v>loss</v>
      </c>
    </row>
    <row r="284" spans="1:16" x14ac:dyDescent="0.3">
      <c r="A284" s="1">
        <v>35762</v>
      </c>
      <c r="B284">
        <v>53.307026</v>
      </c>
      <c r="C284">
        <v>53.392116999999999</v>
      </c>
      <c r="D284">
        <v>52.413978999999998</v>
      </c>
      <c r="E284">
        <v>53.370815</v>
      </c>
      <c r="F284">
        <v>14.052659</v>
      </c>
      <c r="G284">
        <v>964234</v>
      </c>
      <c r="O284" s="8" t="str">
        <f t="shared" si="4"/>
        <v>Profit</v>
      </c>
      <c r="P284" s="5" t="str">
        <f>IF(Table2[[#This Row],[Close]]&gt;Table2[[#This Row],[Open]],"profite","loss")</f>
        <v>profite</v>
      </c>
    </row>
    <row r="285" spans="1:16" x14ac:dyDescent="0.3">
      <c r="A285" s="1">
        <v>35765</v>
      </c>
      <c r="B285">
        <v>53.796084999999998</v>
      </c>
      <c r="C285">
        <v>55.624775</v>
      </c>
      <c r="D285">
        <v>53.796084999999998</v>
      </c>
      <c r="E285">
        <v>55.497185000000002</v>
      </c>
      <c r="F285">
        <v>14.612538000000001</v>
      </c>
      <c r="G285">
        <v>1763756</v>
      </c>
      <c r="O285" s="8" t="str">
        <f t="shared" si="4"/>
        <v>Profit</v>
      </c>
      <c r="P285" s="6" t="str">
        <f>IF(Table2[[#This Row],[Close]]&gt;Table2[[#This Row],[Open]],"profite","loss")</f>
        <v>profite</v>
      </c>
    </row>
    <row r="286" spans="1:16" x14ac:dyDescent="0.3">
      <c r="A286" s="1">
        <v>35766</v>
      </c>
      <c r="B286">
        <v>55.624775</v>
      </c>
      <c r="C286">
        <v>55.837359999999997</v>
      </c>
      <c r="D286">
        <v>54.646633000000001</v>
      </c>
      <c r="E286">
        <v>54.774231</v>
      </c>
      <c r="F286">
        <v>14.422183</v>
      </c>
      <c r="G286">
        <v>1209501</v>
      </c>
      <c r="O286" s="8" t="str">
        <f t="shared" si="4"/>
        <v>Loss</v>
      </c>
      <c r="P286" s="5" t="str">
        <f>IF(Table2[[#This Row],[Close]]&gt;Table2[[#This Row],[Open]],"profite","loss")</f>
        <v>loss</v>
      </c>
    </row>
    <row r="287" spans="1:16" x14ac:dyDescent="0.3">
      <c r="A287" s="1">
        <v>35767</v>
      </c>
      <c r="B287">
        <v>54.710433999999999</v>
      </c>
      <c r="C287">
        <v>54.880527000000001</v>
      </c>
      <c r="D287">
        <v>54.200156999999997</v>
      </c>
      <c r="E287">
        <v>54.200156999999997</v>
      </c>
      <c r="F287">
        <v>14.271029</v>
      </c>
      <c r="G287">
        <v>902918</v>
      </c>
      <c r="O287" s="8" t="str">
        <f t="shared" si="4"/>
        <v>Loss</v>
      </c>
      <c r="P287" s="6" t="str">
        <f>IF(Table2[[#This Row],[Close]]&gt;Table2[[#This Row],[Open]],"profite","loss")</f>
        <v>loss</v>
      </c>
    </row>
    <row r="288" spans="1:16" x14ac:dyDescent="0.3">
      <c r="A288" s="1">
        <v>35768</v>
      </c>
      <c r="B288">
        <v>54.47654</v>
      </c>
      <c r="C288">
        <v>55.071911</v>
      </c>
      <c r="D288">
        <v>53.923682999999997</v>
      </c>
      <c r="E288">
        <v>54.434035999999999</v>
      </c>
      <c r="F288">
        <v>14.332608</v>
      </c>
      <c r="G288">
        <v>1235952</v>
      </c>
      <c r="O288" s="8" t="str">
        <f t="shared" si="4"/>
        <v>Loss</v>
      </c>
      <c r="P288" s="5" t="str">
        <f>IF(Table2[[#This Row],[Close]]&gt;Table2[[#This Row],[Open]],"profite","loss")</f>
        <v>loss</v>
      </c>
    </row>
    <row r="289" spans="1:16" x14ac:dyDescent="0.3">
      <c r="A289" s="1">
        <v>35769</v>
      </c>
      <c r="B289">
        <v>54.115062999999999</v>
      </c>
      <c r="C289">
        <v>54.646633000000001</v>
      </c>
      <c r="D289">
        <v>53.689788999999998</v>
      </c>
      <c r="E289">
        <v>54.434035999999999</v>
      </c>
      <c r="F289">
        <v>14.332608</v>
      </c>
      <c r="G289">
        <v>923357</v>
      </c>
      <c r="O289" s="8" t="str">
        <f t="shared" si="4"/>
        <v>Profit</v>
      </c>
      <c r="P289" s="6" t="str">
        <f>IF(Table2[[#This Row],[Close]]&gt;Table2[[#This Row],[Open]],"profite","loss")</f>
        <v>profite</v>
      </c>
    </row>
    <row r="290" spans="1:16" x14ac:dyDescent="0.3">
      <c r="A290" s="1">
        <v>35772</v>
      </c>
      <c r="B290">
        <v>54.434035999999999</v>
      </c>
      <c r="C290">
        <v>54.81673</v>
      </c>
      <c r="D290">
        <v>54.178863999999997</v>
      </c>
      <c r="E290">
        <v>54.434035999999999</v>
      </c>
      <c r="F290">
        <v>14.332608</v>
      </c>
      <c r="G290">
        <v>759846</v>
      </c>
      <c r="O290" s="8" t="str">
        <f t="shared" si="4"/>
        <v>No Change</v>
      </c>
      <c r="P290" s="5" t="str">
        <f>IF(Table2[[#This Row],[Close]]&gt;Table2[[#This Row],[Open]],"profite","loss")</f>
        <v>loss</v>
      </c>
    </row>
    <row r="291" spans="1:16" x14ac:dyDescent="0.3">
      <c r="A291" s="1">
        <v>35773</v>
      </c>
      <c r="B291">
        <v>54.412754</v>
      </c>
      <c r="C291">
        <v>54.646633000000001</v>
      </c>
      <c r="D291">
        <v>53.519706999999997</v>
      </c>
      <c r="E291">
        <v>53.923682999999997</v>
      </c>
      <c r="F291">
        <v>14.198232000000001</v>
      </c>
      <c r="G291">
        <v>434025</v>
      </c>
      <c r="O291" s="8" t="str">
        <f t="shared" si="4"/>
        <v>Loss</v>
      </c>
      <c r="P291" s="6" t="str">
        <f>IF(Table2[[#This Row],[Close]]&gt;Table2[[#This Row],[Open]],"profite","loss")</f>
        <v>loss</v>
      </c>
    </row>
    <row r="292" spans="1:16" x14ac:dyDescent="0.3">
      <c r="A292" s="1">
        <v>35774</v>
      </c>
      <c r="B292">
        <v>54.008761999999997</v>
      </c>
      <c r="C292">
        <v>54.327655999999998</v>
      </c>
      <c r="D292">
        <v>53.243232999999996</v>
      </c>
      <c r="E292">
        <v>53.243232999999996</v>
      </c>
      <c r="F292">
        <v>14.019069</v>
      </c>
      <c r="G292">
        <v>367900</v>
      </c>
      <c r="O292" s="8" t="str">
        <f t="shared" si="4"/>
        <v>Loss</v>
      </c>
      <c r="P292" s="5" t="str">
        <f>IF(Table2[[#This Row],[Close]]&gt;Table2[[#This Row],[Open]],"profite","loss")</f>
        <v>loss</v>
      </c>
    </row>
    <row r="293" spans="1:16" x14ac:dyDescent="0.3">
      <c r="A293" s="1">
        <v>35775</v>
      </c>
      <c r="B293">
        <v>51.924903999999998</v>
      </c>
      <c r="C293">
        <v>52.605358000000003</v>
      </c>
      <c r="D293">
        <v>51.563426999999997</v>
      </c>
      <c r="E293">
        <v>52.243881000000002</v>
      </c>
      <c r="F293">
        <v>13.755934999999999</v>
      </c>
      <c r="G293">
        <v>978662</v>
      </c>
      <c r="O293" s="8" t="str">
        <f t="shared" si="4"/>
        <v>Profit</v>
      </c>
      <c r="P293" s="6" t="str">
        <f>IF(Table2[[#This Row],[Close]]&gt;Table2[[#This Row],[Open]],"profite","loss")</f>
        <v>profite</v>
      </c>
    </row>
    <row r="294" spans="1:16" x14ac:dyDescent="0.3">
      <c r="A294" s="1">
        <v>35776</v>
      </c>
      <c r="B294">
        <v>52.137580999999997</v>
      </c>
      <c r="C294">
        <v>52.562862000000003</v>
      </c>
      <c r="D294">
        <v>51.691017000000002</v>
      </c>
      <c r="E294">
        <v>51.903694000000002</v>
      </c>
      <c r="F294">
        <v>13.666361999999999</v>
      </c>
      <c r="G294">
        <v>617976</v>
      </c>
      <c r="O294" s="8" t="str">
        <f t="shared" si="4"/>
        <v>Loss</v>
      </c>
      <c r="P294" s="5" t="str">
        <f>IF(Table2[[#This Row],[Close]]&gt;Table2[[#This Row],[Open]],"profite","loss")</f>
        <v>loss</v>
      </c>
    </row>
    <row r="295" spans="1:16" x14ac:dyDescent="0.3">
      <c r="A295" s="1">
        <v>35779</v>
      </c>
      <c r="B295">
        <v>52.307682</v>
      </c>
      <c r="C295">
        <v>52.775458999999998</v>
      </c>
      <c r="D295">
        <v>52.095089000000002</v>
      </c>
      <c r="E295">
        <v>52.520279000000002</v>
      </c>
      <c r="F295">
        <v>13.828716</v>
      </c>
      <c r="G295">
        <v>694922</v>
      </c>
      <c r="O295" s="8" t="str">
        <f t="shared" si="4"/>
        <v>Profit</v>
      </c>
      <c r="P295" s="6" t="str">
        <f>IF(Table2[[#This Row],[Close]]&gt;Table2[[#This Row],[Open]],"profite","loss")</f>
        <v>profite</v>
      </c>
    </row>
    <row r="296" spans="1:16" x14ac:dyDescent="0.3">
      <c r="A296" s="1">
        <v>35780</v>
      </c>
      <c r="B296">
        <v>53.030628</v>
      </c>
      <c r="C296">
        <v>53.583492</v>
      </c>
      <c r="D296">
        <v>52.307682</v>
      </c>
      <c r="E296">
        <v>53.498412999999999</v>
      </c>
      <c r="F296">
        <v>14.086252999999999</v>
      </c>
      <c r="G296">
        <v>989483</v>
      </c>
      <c r="O296" s="8" t="str">
        <f t="shared" si="4"/>
        <v>Profit</v>
      </c>
      <c r="P296" s="5" t="str">
        <f>IF(Table2[[#This Row],[Close]]&gt;Table2[[#This Row],[Open]],"profite","loss")</f>
        <v>profite</v>
      </c>
    </row>
    <row r="297" spans="1:16" x14ac:dyDescent="0.3">
      <c r="A297" s="1">
        <v>35781</v>
      </c>
      <c r="B297">
        <v>53.370815</v>
      </c>
      <c r="C297">
        <v>54.391460000000002</v>
      </c>
      <c r="D297">
        <v>53.158217999999998</v>
      </c>
      <c r="E297">
        <v>53.370815</v>
      </c>
      <c r="F297">
        <v>14.052659</v>
      </c>
      <c r="G297">
        <v>1074845</v>
      </c>
      <c r="O297" s="8" t="str">
        <f t="shared" si="4"/>
        <v>No Change</v>
      </c>
      <c r="P297" s="6" t="str">
        <f>IF(Table2[[#This Row],[Close]]&gt;Table2[[#This Row],[Open]],"profite","loss")</f>
        <v>loss</v>
      </c>
    </row>
    <row r="298" spans="1:16" x14ac:dyDescent="0.3">
      <c r="A298" s="1">
        <v>35782</v>
      </c>
      <c r="B298">
        <v>53.158217999999998</v>
      </c>
      <c r="C298">
        <v>53.753585999999999</v>
      </c>
      <c r="D298">
        <v>52.541569000000003</v>
      </c>
      <c r="E298">
        <v>52.860545999999999</v>
      </c>
      <c r="F298">
        <v>13.918303999999999</v>
      </c>
      <c r="G298">
        <v>801926</v>
      </c>
      <c r="O298" s="8" t="str">
        <f t="shared" si="4"/>
        <v>Loss</v>
      </c>
      <c r="P298" s="5" t="str">
        <f>IF(Table2[[#This Row],[Close]]&gt;Table2[[#This Row],[Open]],"profite","loss")</f>
        <v>loss</v>
      </c>
    </row>
    <row r="299" spans="1:16" x14ac:dyDescent="0.3">
      <c r="A299" s="1">
        <v>35783</v>
      </c>
      <c r="B299">
        <v>51.627231999999999</v>
      </c>
      <c r="C299">
        <v>51.754821999999997</v>
      </c>
      <c r="D299">
        <v>49.075679999999998</v>
      </c>
      <c r="E299">
        <v>49.267063</v>
      </c>
      <c r="F299">
        <v>12.972132999999999</v>
      </c>
      <c r="G299">
        <v>1685607</v>
      </c>
      <c r="O299" s="8" t="str">
        <f t="shared" si="4"/>
        <v>Loss</v>
      </c>
      <c r="P299" s="6" t="str">
        <f>IF(Table2[[#This Row],[Close]]&gt;Table2[[#This Row],[Open]],"profite","loss")</f>
        <v>loss</v>
      </c>
    </row>
    <row r="300" spans="1:16" x14ac:dyDescent="0.3">
      <c r="A300" s="1">
        <v>35786</v>
      </c>
      <c r="B300">
        <v>49.756129999999999</v>
      </c>
      <c r="C300">
        <v>50.606594000000001</v>
      </c>
      <c r="D300">
        <v>48.182631999999998</v>
      </c>
      <c r="E300">
        <v>50.585377000000001</v>
      </c>
      <c r="F300">
        <v>13.319246</v>
      </c>
      <c r="G300">
        <v>946200</v>
      </c>
      <c r="O300" s="8" t="str">
        <f t="shared" si="4"/>
        <v>Profit</v>
      </c>
      <c r="P300" s="5" t="str">
        <f>IF(Table2[[#This Row],[Close]]&gt;Table2[[#This Row],[Open]],"profite","loss")</f>
        <v>profite</v>
      </c>
    </row>
    <row r="301" spans="1:16" x14ac:dyDescent="0.3">
      <c r="A301" s="1">
        <v>35787</v>
      </c>
      <c r="B301">
        <v>50.734183999999999</v>
      </c>
      <c r="C301">
        <v>51.797398000000001</v>
      </c>
      <c r="D301">
        <v>50.734183999999999</v>
      </c>
      <c r="E301">
        <v>51.797398000000001</v>
      </c>
      <c r="F301">
        <v>13.63838</v>
      </c>
      <c r="G301">
        <v>703338</v>
      </c>
      <c r="O301" s="8" t="str">
        <f t="shared" si="4"/>
        <v>Profit</v>
      </c>
      <c r="P301" s="6" t="str">
        <f>IF(Table2[[#This Row],[Close]]&gt;Table2[[#This Row],[Open]],"profite","loss")</f>
        <v>profite</v>
      </c>
    </row>
    <row r="302" spans="1:16" x14ac:dyDescent="0.3">
      <c r="A302" s="1">
        <v>35788</v>
      </c>
      <c r="B302">
        <v>51.797398000000001</v>
      </c>
      <c r="C302">
        <v>51.797398000000001</v>
      </c>
      <c r="D302">
        <v>51.797398000000001</v>
      </c>
      <c r="E302">
        <v>51.797398000000001</v>
      </c>
      <c r="F302">
        <v>13.63838</v>
      </c>
      <c r="G302">
        <v>0</v>
      </c>
      <c r="O302" s="8" t="str">
        <f t="shared" si="4"/>
        <v>No Change</v>
      </c>
      <c r="P302" s="5" t="str">
        <f>IF(Table2[[#This Row],[Close]]&gt;Table2[[#This Row],[Open]],"profite","loss")</f>
        <v>loss</v>
      </c>
    </row>
    <row r="303" spans="1:16" x14ac:dyDescent="0.3">
      <c r="A303" s="1">
        <v>35789</v>
      </c>
      <c r="B303">
        <v>51.797398000000001</v>
      </c>
      <c r="C303">
        <v>51.797398000000001</v>
      </c>
      <c r="D303">
        <v>51.797398000000001</v>
      </c>
      <c r="E303">
        <v>51.797398000000001</v>
      </c>
      <c r="F303">
        <v>13.63838</v>
      </c>
      <c r="G303">
        <v>0</v>
      </c>
      <c r="O303" s="8" t="str">
        <f t="shared" si="4"/>
        <v>No Change</v>
      </c>
      <c r="P303" s="6" t="str">
        <f>IF(Table2[[#This Row],[Close]]&gt;Table2[[#This Row],[Open]],"profite","loss")</f>
        <v>loss</v>
      </c>
    </row>
    <row r="304" spans="1:16" x14ac:dyDescent="0.3">
      <c r="A304" s="1">
        <v>35790</v>
      </c>
      <c r="B304">
        <v>51.797398000000001</v>
      </c>
      <c r="C304">
        <v>51.797398000000001</v>
      </c>
      <c r="D304">
        <v>51.797398000000001</v>
      </c>
      <c r="E304">
        <v>51.797398000000001</v>
      </c>
      <c r="F304">
        <v>13.63838</v>
      </c>
      <c r="G304">
        <v>0</v>
      </c>
      <c r="O304" s="8" t="str">
        <f t="shared" si="4"/>
        <v>No Change</v>
      </c>
      <c r="P304" s="5" t="str">
        <f>IF(Table2[[#This Row],[Close]]&gt;Table2[[#This Row],[Open]],"profite","loss")</f>
        <v>loss</v>
      </c>
    </row>
    <row r="305" spans="1:16" x14ac:dyDescent="0.3">
      <c r="A305" s="1">
        <v>35793</v>
      </c>
      <c r="B305">
        <v>51.244534000000002</v>
      </c>
      <c r="C305">
        <v>53.136929000000002</v>
      </c>
      <c r="D305">
        <v>51.031863999999999</v>
      </c>
      <c r="E305">
        <v>52.775458999999998</v>
      </c>
      <c r="F305">
        <v>13.895899999999999</v>
      </c>
      <c r="G305">
        <v>928166</v>
      </c>
      <c r="O305" s="8" t="str">
        <f t="shared" si="4"/>
        <v>Profit</v>
      </c>
      <c r="P305" s="6" t="str">
        <f>IF(Table2[[#This Row],[Close]]&gt;Table2[[#This Row],[Open]],"profite","loss")</f>
        <v>profite</v>
      </c>
    </row>
    <row r="306" spans="1:16" x14ac:dyDescent="0.3">
      <c r="A306" s="1">
        <v>35794</v>
      </c>
      <c r="B306">
        <v>53.200729000000003</v>
      </c>
      <c r="C306">
        <v>54.200156999999997</v>
      </c>
      <c r="D306">
        <v>53.200729000000003</v>
      </c>
      <c r="E306">
        <v>53.583492</v>
      </c>
      <c r="F306">
        <v>14.108658999999999</v>
      </c>
      <c r="G306">
        <v>680495</v>
      </c>
      <c r="O306" s="8" t="str">
        <f t="shared" si="4"/>
        <v>Profit</v>
      </c>
      <c r="P306" s="5" t="str">
        <f>IF(Table2[[#This Row],[Close]]&gt;Table2[[#This Row],[Open]],"profite","loss")</f>
        <v>profite</v>
      </c>
    </row>
    <row r="307" spans="1:16" x14ac:dyDescent="0.3">
      <c r="A307" s="1">
        <v>35795</v>
      </c>
      <c r="B307">
        <v>53.583492</v>
      </c>
      <c r="C307">
        <v>53.583492</v>
      </c>
      <c r="D307">
        <v>53.583492</v>
      </c>
      <c r="E307">
        <v>53.583492</v>
      </c>
      <c r="F307">
        <v>14.108658999999999</v>
      </c>
      <c r="G307">
        <v>0</v>
      </c>
      <c r="O307" s="8" t="str">
        <f t="shared" si="4"/>
        <v>No Change</v>
      </c>
      <c r="P307" s="6" t="str">
        <f>IF(Table2[[#This Row],[Close]]&gt;Table2[[#This Row],[Open]],"profite","loss")</f>
        <v>loss</v>
      </c>
    </row>
    <row r="308" spans="1:16" x14ac:dyDescent="0.3">
      <c r="A308" s="1">
        <v>35796</v>
      </c>
      <c r="B308">
        <v>53.583492</v>
      </c>
      <c r="C308">
        <v>53.583492</v>
      </c>
      <c r="D308">
        <v>53.583492</v>
      </c>
      <c r="E308">
        <v>53.583492</v>
      </c>
      <c r="F308">
        <v>14.108658999999999</v>
      </c>
      <c r="G308">
        <v>0</v>
      </c>
      <c r="O308" s="8" t="str">
        <f t="shared" si="4"/>
        <v>No Change</v>
      </c>
      <c r="P308" s="5" t="str">
        <f>IF(Table2[[#This Row],[Close]]&gt;Table2[[#This Row],[Open]],"profite","loss")</f>
        <v>loss</v>
      </c>
    </row>
    <row r="309" spans="1:16" x14ac:dyDescent="0.3">
      <c r="A309" s="1">
        <v>35797</v>
      </c>
      <c r="B309">
        <v>54.47654</v>
      </c>
      <c r="C309">
        <v>56.028754999999997</v>
      </c>
      <c r="D309">
        <v>54.47654</v>
      </c>
      <c r="E309">
        <v>56.028754999999997</v>
      </c>
      <c r="F309">
        <v>14.752503000000001</v>
      </c>
      <c r="G309">
        <v>1213108</v>
      </c>
      <c r="O309" s="8" t="str">
        <f t="shared" si="4"/>
        <v>Profit</v>
      </c>
      <c r="P309" s="6" t="str">
        <f>IF(Table2[[#This Row],[Close]]&gt;Table2[[#This Row],[Open]],"profite","loss")</f>
        <v>profite</v>
      </c>
    </row>
    <row r="310" spans="1:16" x14ac:dyDescent="0.3">
      <c r="A310" s="1">
        <v>35800</v>
      </c>
      <c r="B310">
        <v>55.709781999999997</v>
      </c>
      <c r="C310">
        <v>57.325867000000002</v>
      </c>
      <c r="D310">
        <v>55.709781999999997</v>
      </c>
      <c r="E310">
        <v>57.283279</v>
      </c>
      <c r="F310">
        <v>15.08282</v>
      </c>
      <c r="G310">
        <v>1813050</v>
      </c>
      <c r="O310" s="8" t="str">
        <f t="shared" si="4"/>
        <v>Profit</v>
      </c>
      <c r="P310" s="5" t="str">
        <f>IF(Table2[[#This Row],[Close]]&gt;Table2[[#This Row],[Open]],"profite","loss")</f>
        <v>profite</v>
      </c>
    </row>
    <row r="311" spans="1:16" x14ac:dyDescent="0.3">
      <c r="A311" s="1">
        <v>35801</v>
      </c>
      <c r="B311">
        <v>57.410862000000002</v>
      </c>
      <c r="C311">
        <v>57.623539000000001</v>
      </c>
      <c r="D311">
        <v>56.092548000000001</v>
      </c>
      <c r="E311">
        <v>56.645412</v>
      </c>
      <c r="F311">
        <v>14.914870000000001</v>
      </c>
      <c r="G311">
        <v>1173433</v>
      </c>
      <c r="O311" s="8" t="str">
        <f t="shared" si="4"/>
        <v>Loss</v>
      </c>
      <c r="P311" s="6" t="str">
        <f>IF(Table2[[#This Row],[Close]]&gt;Table2[[#This Row],[Open]],"profite","loss")</f>
        <v>loss</v>
      </c>
    </row>
    <row r="312" spans="1:16" x14ac:dyDescent="0.3">
      <c r="A312" s="1">
        <v>35802</v>
      </c>
      <c r="B312">
        <v>56.517814999999999</v>
      </c>
      <c r="C312">
        <v>57.198264999999999</v>
      </c>
      <c r="D312">
        <v>56.028754999999997</v>
      </c>
      <c r="E312">
        <v>56.560326000000003</v>
      </c>
      <c r="F312">
        <v>14.892467</v>
      </c>
      <c r="G312">
        <v>1278032</v>
      </c>
      <c r="O312" s="8" t="str">
        <f t="shared" si="4"/>
        <v>Profit</v>
      </c>
      <c r="P312" s="5" t="str">
        <f>IF(Table2[[#This Row],[Close]]&gt;Table2[[#This Row],[Open]],"profite","loss")</f>
        <v>profite</v>
      </c>
    </row>
    <row r="313" spans="1:16" x14ac:dyDescent="0.3">
      <c r="A313" s="1">
        <v>35803</v>
      </c>
      <c r="B313">
        <v>56.985596000000001</v>
      </c>
      <c r="C313">
        <v>56.985596000000001</v>
      </c>
      <c r="D313">
        <v>54.646633000000001</v>
      </c>
      <c r="E313">
        <v>54.689132999999998</v>
      </c>
      <c r="F313">
        <v>14.399777</v>
      </c>
      <c r="G313">
        <v>1187860</v>
      </c>
      <c r="O313" s="8" t="str">
        <f t="shared" si="4"/>
        <v>Loss</v>
      </c>
      <c r="P313" s="6" t="str">
        <f>IF(Table2[[#This Row],[Close]]&gt;Table2[[#This Row],[Open]],"profite","loss")</f>
        <v>loss</v>
      </c>
    </row>
    <row r="314" spans="1:16" x14ac:dyDescent="0.3">
      <c r="A314" s="1">
        <v>35804</v>
      </c>
      <c r="B314">
        <v>54.263863000000001</v>
      </c>
      <c r="C314">
        <v>54.774231</v>
      </c>
      <c r="D314">
        <v>52.945549</v>
      </c>
      <c r="E314">
        <v>53.243232999999996</v>
      </c>
      <c r="F314">
        <v>14.019069</v>
      </c>
      <c r="G314">
        <v>1488432</v>
      </c>
      <c r="O314" s="8" t="str">
        <f t="shared" si="4"/>
        <v>Loss</v>
      </c>
      <c r="P314" s="5" t="str">
        <f>IF(Table2[[#This Row],[Close]]&gt;Table2[[#This Row],[Open]],"profite","loss")</f>
        <v>loss</v>
      </c>
    </row>
    <row r="315" spans="1:16" x14ac:dyDescent="0.3">
      <c r="A315" s="1">
        <v>35807</v>
      </c>
      <c r="B315">
        <v>50.776767999999997</v>
      </c>
      <c r="C315">
        <v>52.265171000000002</v>
      </c>
      <c r="D315">
        <v>50.521586999999997</v>
      </c>
      <c r="E315">
        <v>51.882407999999998</v>
      </c>
      <c r="F315">
        <v>13.66076</v>
      </c>
      <c r="G315">
        <v>1150589</v>
      </c>
      <c r="O315" s="8" t="str">
        <f t="shared" si="4"/>
        <v>Profit</v>
      </c>
      <c r="P315" s="6" t="str">
        <f>IF(Table2[[#This Row],[Close]]&gt;Table2[[#This Row],[Open]],"profite","loss")</f>
        <v>profite</v>
      </c>
    </row>
    <row r="316" spans="1:16" x14ac:dyDescent="0.3">
      <c r="A316" s="1">
        <v>35808</v>
      </c>
      <c r="B316">
        <v>52.690444999999997</v>
      </c>
      <c r="C316">
        <v>52.860545999999999</v>
      </c>
      <c r="D316">
        <v>51.563426999999997</v>
      </c>
      <c r="E316">
        <v>51.584721000000002</v>
      </c>
      <c r="F316">
        <v>13.582376999999999</v>
      </c>
      <c r="G316">
        <v>1202288</v>
      </c>
      <c r="O316" s="8" t="str">
        <f t="shared" si="4"/>
        <v>Loss</v>
      </c>
      <c r="P316" s="5" t="str">
        <f>IF(Table2[[#This Row],[Close]]&gt;Table2[[#This Row],[Open]],"profite","loss")</f>
        <v>loss</v>
      </c>
    </row>
    <row r="317" spans="1:16" x14ac:dyDescent="0.3">
      <c r="A317" s="1">
        <v>35809</v>
      </c>
      <c r="B317">
        <v>52.307682</v>
      </c>
      <c r="C317">
        <v>52.350185000000003</v>
      </c>
      <c r="D317">
        <v>51.542225000000002</v>
      </c>
      <c r="E317">
        <v>51.669815</v>
      </c>
      <c r="F317">
        <v>13.604784</v>
      </c>
      <c r="G317">
        <v>762250</v>
      </c>
      <c r="O317" s="8" t="str">
        <f t="shared" si="4"/>
        <v>Loss</v>
      </c>
      <c r="P317" s="6" t="str">
        <f>IF(Table2[[#This Row],[Close]]&gt;Table2[[#This Row],[Open]],"profite","loss")</f>
        <v>loss</v>
      </c>
    </row>
    <row r="318" spans="1:16" x14ac:dyDescent="0.3">
      <c r="A318" s="1">
        <v>35810</v>
      </c>
      <c r="B318">
        <v>51.287044999999999</v>
      </c>
      <c r="C318">
        <v>52.031283999999999</v>
      </c>
      <c r="D318">
        <v>50.904266</v>
      </c>
      <c r="E318">
        <v>51.584721000000002</v>
      </c>
      <c r="F318">
        <v>13.582376999999999</v>
      </c>
      <c r="G318">
        <v>619178</v>
      </c>
      <c r="O318" s="8" t="str">
        <f t="shared" si="4"/>
        <v>Profit</v>
      </c>
      <c r="P318" s="5" t="str">
        <f>IF(Table2[[#This Row],[Close]]&gt;Table2[[#This Row],[Open]],"profite","loss")</f>
        <v>profite</v>
      </c>
    </row>
    <row r="319" spans="1:16" x14ac:dyDescent="0.3">
      <c r="A319" s="1">
        <v>35811</v>
      </c>
      <c r="B319">
        <v>52.860545999999999</v>
      </c>
      <c r="C319">
        <v>53.370815</v>
      </c>
      <c r="D319">
        <v>52.626658999999997</v>
      </c>
      <c r="E319">
        <v>53.370815</v>
      </c>
      <c r="F319">
        <v>14.052659</v>
      </c>
      <c r="G319">
        <v>1210704</v>
      </c>
      <c r="O319" s="8" t="str">
        <f t="shared" si="4"/>
        <v>Profit</v>
      </c>
      <c r="P319" s="6" t="str">
        <f>IF(Table2[[#This Row],[Close]]&gt;Table2[[#This Row],[Open]],"profite","loss")</f>
        <v>profite</v>
      </c>
    </row>
    <row r="320" spans="1:16" x14ac:dyDescent="0.3">
      <c r="A320" s="1">
        <v>35814</v>
      </c>
      <c r="B320">
        <v>54.221359</v>
      </c>
      <c r="C320">
        <v>54.391460000000002</v>
      </c>
      <c r="D320">
        <v>52.881756000000003</v>
      </c>
      <c r="E320">
        <v>53.158217999999998</v>
      </c>
      <c r="F320">
        <v>13.996681000000001</v>
      </c>
      <c r="G320">
        <v>1347764</v>
      </c>
      <c r="O320" s="8" t="str">
        <f t="shared" si="4"/>
        <v>Loss</v>
      </c>
      <c r="P320" s="5" t="str">
        <f>IF(Table2[[#This Row],[Close]]&gt;Table2[[#This Row],[Open]],"profite","loss")</f>
        <v>loss</v>
      </c>
    </row>
    <row r="321" spans="1:16" x14ac:dyDescent="0.3">
      <c r="A321" s="1">
        <v>35815</v>
      </c>
      <c r="B321">
        <v>53.094433000000002</v>
      </c>
      <c r="C321">
        <v>53.583492</v>
      </c>
      <c r="D321">
        <v>52.562862000000003</v>
      </c>
      <c r="E321">
        <v>52.775458999999998</v>
      </c>
      <c r="F321">
        <v>13.895899999999999</v>
      </c>
      <c r="G321">
        <v>1048395</v>
      </c>
      <c r="O321" s="8" t="str">
        <f t="shared" si="4"/>
        <v>Loss</v>
      </c>
      <c r="P321" s="6" t="str">
        <f>IF(Table2[[#This Row],[Close]]&gt;Table2[[#This Row],[Open]],"profite","loss")</f>
        <v>loss</v>
      </c>
    </row>
    <row r="322" spans="1:16" x14ac:dyDescent="0.3">
      <c r="A322" s="1">
        <v>35816</v>
      </c>
      <c r="B322">
        <v>53.115726000000002</v>
      </c>
      <c r="C322">
        <v>53.328311999999997</v>
      </c>
      <c r="D322">
        <v>51.882407999999998</v>
      </c>
      <c r="E322">
        <v>51.924903999999998</v>
      </c>
      <c r="F322">
        <v>13.671946999999999</v>
      </c>
      <c r="G322">
        <v>985876</v>
      </c>
      <c r="O322" s="8" t="str">
        <f t="shared" si="4"/>
        <v>Loss</v>
      </c>
      <c r="P322" s="5" t="str">
        <f>IF(Table2[[#This Row],[Close]]&gt;Table2[[#This Row],[Open]],"profite","loss")</f>
        <v>loss</v>
      </c>
    </row>
    <row r="323" spans="1:16" x14ac:dyDescent="0.3">
      <c r="A323" s="1">
        <v>35817</v>
      </c>
      <c r="B323">
        <v>51.244534000000002</v>
      </c>
      <c r="C323">
        <v>51.542225000000002</v>
      </c>
      <c r="D323">
        <v>50.2239</v>
      </c>
      <c r="E323">
        <v>51.329540000000001</v>
      </c>
      <c r="F323">
        <v>13.515186999999999</v>
      </c>
      <c r="G323">
        <v>1591829</v>
      </c>
      <c r="O323" s="8" t="str">
        <f t="shared" ref="O323:O386" si="5">IF(E323&gt;B323,"Profit",IF(E323&lt;B323,"Loss","No Change"))</f>
        <v>Profit</v>
      </c>
      <c r="P323" s="6" t="str">
        <f>IF(Table2[[#This Row],[Close]]&gt;Table2[[#This Row],[Open]],"profite","loss")</f>
        <v>profite</v>
      </c>
    </row>
    <row r="324" spans="1:16" x14ac:dyDescent="0.3">
      <c r="A324" s="1">
        <v>35818</v>
      </c>
      <c r="B324">
        <v>51.244534000000002</v>
      </c>
      <c r="C324">
        <v>51.584721000000002</v>
      </c>
      <c r="D324">
        <v>50.606594000000001</v>
      </c>
      <c r="E324">
        <v>50.861773999999997</v>
      </c>
      <c r="F324">
        <v>13.392022000000001</v>
      </c>
      <c r="G324">
        <v>825971</v>
      </c>
      <c r="O324" s="8" t="str">
        <f t="shared" si="5"/>
        <v>Loss</v>
      </c>
      <c r="P324" s="5" t="str">
        <f>IF(Table2[[#This Row],[Close]]&gt;Table2[[#This Row],[Open]],"profite","loss")</f>
        <v>loss</v>
      </c>
    </row>
    <row r="325" spans="1:16" x14ac:dyDescent="0.3">
      <c r="A325" s="1">
        <v>35821</v>
      </c>
      <c r="B325">
        <v>50.819271000000001</v>
      </c>
      <c r="C325">
        <v>51.244534000000002</v>
      </c>
      <c r="D325">
        <v>49.841137000000003</v>
      </c>
      <c r="E325">
        <v>51.053158000000003</v>
      </c>
      <c r="F325">
        <v>13.442413999999999</v>
      </c>
      <c r="G325">
        <v>1088070</v>
      </c>
      <c r="O325" s="8" t="str">
        <f t="shared" si="5"/>
        <v>Profit</v>
      </c>
      <c r="P325" s="6" t="str">
        <f>IF(Table2[[#This Row],[Close]]&gt;Table2[[#This Row],[Open]],"profite","loss")</f>
        <v>profite</v>
      </c>
    </row>
    <row r="326" spans="1:16" x14ac:dyDescent="0.3">
      <c r="A326" s="1">
        <v>35822</v>
      </c>
      <c r="B326">
        <v>51.201957999999998</v>
      </c>
      <c r="C326">
        <v>51.265754999999999</v>
      </c>
      <c r="D326">
        <v>50.521586999999997</v>
      </c>
      <c r="E326">
        <v>50.989364999999999</v>
      </c>
      <c r="F326">
        <v>13.42562</v>
      </c>
      <c r="G326">
        <v>1258795</v>
      </c>
      <c r="O326" s="8" t="str">
        <f t="shared" si="5"/>
        <v>Loss</v>
      </c>
      <c r="P326" s="5" t="str">
        <f>IF(Table2[[#This Row],[Close]]&gt;Table2[[#This Row],[Open]],"profite","loss")</f>
        <v>loss</v>
      </c>
    </row>
    <row r="327" spans="1:16" x14ac:dyDescent="0.3">
      <c r="A327" s="1">
        <v>35823</v>
      </c>
      <c r="B327">
        <v>51.457129999999999</v>
      </c>
      <c r="C327">
        <v>53.115726000000002</v>
      </c>
      <c r="D327">
        <v>51.414634999999997</v>
      </c>
      <c r="E327">
        <v>52.158797999999997</v>
      </c>
      <c r="F327">
        <v>13.733535</v>
      </c>
      <c r="G327">
        <v>1938088</v>
      </c>
      <c r="O327" s="8" t="str">
        <f t="shared" si="5"/>
        <v>Profit</v>
      </c>
      <c r="P327" s="6" t="str">
        <f>IF(Table2[[#This Row],[Close]]&gt;Table2[[#This Row],[Open]],"profite","loss")</f>
        <v>profite</v>
      </c>
    </row>
    <row r="328" spans="1:16" x14ac:dyDescent="0.3">
      <c r="A328" s="1">
        <v>35824</v>
      </c>
      <c r="B328">
        <v>52.647869</v>
      </c>
      <c r="C328">
        <v>54.115062999999999</v>
      </c>
      <c r="D328">
        <v>52.307682</v>
      </c>
      <c r="E328">
        <v>53.796084999999998</v>
      </c>
      <c r="F328">
        <v>14.164634</v>
      </c>
      <c r="G328">
        <v>1813050</v>
      </c>
      <c r="O328" s="8" t="str">
        <f t="shared" si="5"/>
        <v>Profit</v>
      </c>
      <c r="P328" s="5" t="str">
        <f>IF(Table2[[#This Row],[Close]]&gt;Table2[[#This Row],[Open]],"profite","loss")</f>
        <v>profite</v>
      </c>
    </row>
    <row r="329" spans="1:16" x14ac:dyDescent="0.3">
      <c r="A329" s="1">
        <v>35825</v>
      </c>
      <c r="B329">
        <v>53.923682999999997</v>
      </c>
      <c r="C329">
        <v>54.752929999999999</v>
      </c>
      <c r="D329">
        <v>53.753585999999999</v>
      </c>
      <c r="E329">
        <v>54.434035999999999</v>
      </c>
      <c r="F329">
        <v>14.332608</v>
      </c>
      <c r="G329">
        <v>1434329</v>
      </c>
      <c r="O329" s="8" t="str">
        <f t="shared" si="5"/>
        <v>Profit</v>
      </c>
      <c r="P329" s="6" t="str">
        <f>IF(Table2[[#This Row],[Close]]&gt;Table2[[#This Row],[Open]],"profite","loss")</f>
        <v>profite</v>
      </c>
    </row>
    <row r="330" spans="1:16" x14ac:dyDescent="0.3">
      <c r="A330" s="1">
        <v>35828</v>
      </c>
      <c r="B330">
        <v>54.646633000000001</v>
      </c>
      <c r="C330">
        <v>55.263289999999998</v>
      </c>
      <c r="D330">
        <v>54.348956999999999</v>
      </c>
      <c r="E330">
        <v>55.114407</v>
      </c>
      <c r="F330">
        <v>14.511752</v>
      </c>
      <c r="G330">
        <v>1151791</v>
      </c>
      <c r="O330" s="8" t="str">
        <f t="shared" si="5"/>
        <v>Profit</v>
      </c>
      <c r="P330" s="5" t="str">
        <f>IF(Table2[[#This Row],[Close]]&gt;Table2[[#This Row],[Open]],"profite","loss")</f>
        <v>profite</v>
      </c>
    </row>
    <row r="331" spans="1:16" x14ac:dyDescent="0.3">
      <c r="A331" s="1">
        <v>35829</v>
      </c>
      <c r="B331">
        <v>55.178210999999997</v>
      </c>
      <c r="C331">
        <v>56.539116</v>
      </c>
      <c r="D331">
        <v>54.689132999999998</v>
      </c>
      <c r="E331">
        <v>56.262633999999998</v>
      </c>
      <c r="F331">
        <v>14.814086</v>
      </c>
      <c r="G331">
        <v>1905626</v>
      </c>
      <c r="O331" s="8" t="str">
        <f t="shared" si="5"/>
        <v>Profit</v>
      </c>
      <c r="P331" s="6" t="str">
        <f>IF(Table2[[#This Row],[Close]]&gt;Table2[[#This Row],[Open]],"profite","loss")</f>
        <v>profite</v>
      </c>
    </row>
    <row r="332" spans="1:16" x14ac:dyDescent="0.3">
      <c r="A332" s="1">
        <v>35830</v>
      </c>
      <c r="B332">
        <v>56.751708999999998</v>
      </c>
      <c r="C332">
        <v>57.198264999999999</v>
      </c>
      <c r="D332">
        <v>55.071911</v>
      </c>
      <c r="E332">
        <v>55.645977000000002</v>
      </c>
      <c r="F332">
        <v>14.651714999999999</v>
      </c>
      <c r="G332">
        <v>2494747</v>
      </c>
      <c r="O332" s="8" t="str">
        <f t="shared" si="5"/>
        <v>Loss</v>
      </c>
      <c r="P332" s="5" t="str">
        <f>IF(Table2[[#This Row],[Close]]&gt;Table2[[#This Row],[Open]],"profite","loss")</f>
        <v>loss</v>
      </c>
    </row>
    <row r="333" spans="1:16" x14ac:dyDescent="0.3">
      <c r="A333" s="1">
        <v>35831</v>
      </c>
      <c r="B333">
        <v>55.327083999999999</v>
      </c>
      <c r="C333">
        <v>56.730407999999997</v>
      </c>
      <c r="D333">
        <v>55.156993999999997</v>
      </c>
      <c r="E333">
        <v>55.263289999999998</v>
      </c>
      <c r="F333">
        <v>14.550951</v>
      </c>
      <c r="G333">
        <v>1581008</v>
      </c>
      <c r="O333" s="8" t="str">
        <f t="shared" si="5"/>
        <v>Loss</v>
      </c>
      <c r="P333" s="6" t="str">
        <f>IF(Table2[[#This Row],[Close]]&gt;Table2[[#This Row],[Open]],"profite","loss")</f>
        <v>loss</v>
      </c>
    </row>
    <row r="334" spans="1:16" x14ac:dyDescent="0.3">
      <c r="A334" s="1">
        <v>35832</v>
      </c>
      <c r="B334">
        <v>55.709781999999997</v>
      </c>
      <c r="C334">
        <v>55.922459000000003</v>
      </c>
      <c r="D334">
        <v>55.071911</v>
      </c>
      <c r="E334">
        <v>55.412098</v>
      </c>
      <c r="F334">
        <v>14.590137</v>
      </c>
      <c r="G334">
        <v>854826</v>
      </c>
      <c r="O334" s="8" t="str">
        <f t="shared" si="5"/>
        <v>Loss</v>
      </c>
      <c r="P334" s="5" t="str">
        <f>IF(Table2[[#This Row],[Close]]&gt;Table2[[#This Row],[Open]],"profite","loss")</f>
        <v>loss</v>
      </c>
    </row>
    <row r="335" spans="1:16" x14ac:dyDescent="0.3">
      <c r="A335" s="1">
        <v>35835</v>
      </c>
      <c r="B335">
        <v>55.964958000000003</v>
      </c>
      <c r="C335">
        <v>56.900500999999998</v>
      </c>
      <c r="D335">
        <v>54.604137000000001</v>
      </c>
      <c r="E335">
        <v>54.731720000000003</v>
      </c>
      <c r="F335">
        <v>14.41099</v>
      </c>
      <c r="G335">
        <v>1632707</v>
      </c>
      <c r="O335" s="8" t="str">
        <f t="shared" si="5"/>
        <v>Loss</v>
      </c>
      <c r="P335" s="6" t="str">
        <f>IF(Table2[[#This Row],[Close]]&gt;Table2[[#This Row],[Open]],"profite","loss")</f>
        <v>loss</v>
      </c>
    </row>
    <row r="336" spans="1:16" x14ac:dyDescent="0.3">
      <c r="A336" s="1">
        <v>35836</v>
      </c>
      <c r="B336">
        <v>54.81673</v>
      </c>
      <c r="C336">
        <v>55.156993999999997</v>
      </c>
      <c r="D336">
        <v>54.370243000000002</v>
      </c>
      <c r="E336">
        <v>54.859318000000002</v>
      </c>
      <c r="F336">
        <v>14.444587</v>
      </c>
      <c r="G336">
        <v>1118127</v>
      </c>
      <c r="O336" s="8" t="str">
        <f t="shared" si="5"/>
        <v>Profit</v>
      </c>
      <c r="P336" s="5" t="str">
        <f>IF(Table2[[#This Row],[Close]]&gt;Table2[[#This Row],[Open]],"profite","loss")</f>
        <v>profite</v>
      </c>
    </row>
    <row r="337" spans="1:16" x14ac:dyDescent="0.3">
      <c r="A337" s="1">
        <v>35837</v>
      </c>
      <c r="B337">
        <v>55.071911</v>
      </c>
      <c r="C337">
        <v>55.794860999999997</v>
      </c>
      <c r="D337">
        <v>54.646633000000001</v>
      </c>
      <c r="E337">
        <v>55.093204</v>
      </c>
      <c r="F337">
        <v>14.506168000000001</v>
      </c>
      <c r="G337">
        <v>1689214</v>
      </c>
      <c r="O337" s="8" t="str">
        <f t="shared" si="5"/>
        <v>Profit</v>
      </c>
      <c r="P337" s="6" t="str">
        <f>IF(Table2[[#This Row],[Close]]&gt;Table2[[#This Row],[Open]],"profite","loss")</f>
        <v>profite</v>
      </c>
    </row>
    <row r="338" spans="1:16" x14ac:dyDescent="0.3">
      <c r="A338" s="1">
        <v>35838</v>
      </c>
      <c r="B338">
        <v>55.156993999999997</v>
      </c>
      <c r="C338">
        <v>56.177635000000002</v>
      </c>
      <c r="D338">
        <v>55.135708000000001</v>
      </c>
      <c r="E338">
        <v>55.156993999999997</v>
      </c>
      <c r="F338">
        <v>14.522964</v>
      </c>
      <c r="G338">
        <v>1266009</v>
      </c>
      <c r="O338" s="8" t="str">
        <f t="shared" si="5"/>
        <v>No Change</v>
      </c>
      <c r="P338" s="5" t="str">
        <f>IF(Table2[[#This Row],[Close]]&gt;Table2[[#This Row],[Open]],"profite","loss")</f>
        <v>loss</v>
      </c>
    </row>
    <row r="339" spans="1:16" x14ac:dyDescent="0.3">
      <c r="A339" s="1">
        <v>35839</v>
      </c>
      <c r="B339">
        <v>55.518470999999998</v>
      </c>
      <c r="C339">
        <v>55.667278000000003</v>
      </c>
      <c r="D339">
        <v>54.944313000000001</v>
      </c>
      <c r="E339">
        <v>55.029411000000003</v>
      </c>
      <c r="F339">
        <v>14.489374</v>
      </c>
      <c r="G339">
        <v>1000303</v>
      </c>
      <c r="O339" s="8" t="str">
        <f t="shared" si="5"/>
        <v>Loss</v>
      </c>
      <c r="P339" s="6" t="str">
        <f>IF(Table2[[#This Row],[Close]]&gt;Table2[[#This Row],[Open]],"profite","loss")</f>
        <v>loss</v>
      </c>
    </row>
    <row r="340" spans="1:16" x14ac:dyDescent="0.3">
      <c r="A340" s="1">
        <v>35842</v>
      </c>
      <c r="B340">
        <v>54.986823999999999</v>
      </c>
      <c r="C340">
        <v>55.816158000000001</v>
      </c>
      <c r="D340">
        <v>54.986823999999999</v>
      </c>
      <c r="E340">
        <v>55.709781999999997</v>
      </c>
      <c r="F340">
        <v>14.668516</v>
      </c>
      <c r="G340">
        <v>627594</v>
      </c>
      <c r="O340" s="8" t="str">
        <f t="shared" si="5"/>
        <v>Profit</v>
      </c>
      <c r="P340" s="5" t="str">
        <f>IF(Table2[[#This Row],[Close]]&gt;Table2[[#This Row],[Open]],"profite","loss")</f>
        <v>profite</v>
      </c>
    </row>
    <row r="341" spans="1:16" x14ac:dyDescent="0.3">
      <c r="A341" s="1">
        <v>35843</v>
      </c>
      <c r="B341">
        <v>55.901156999999998</v>
      </c>
      <c r="C341">
        <v>57.602257000000002</v>
      </c>
      <c r="D341">
        <v>55.901156999999998</v>
      </c>
      <c r="E341">
        <v>57.559753000000001</v>
      </c>
      <c r="F341">
        <v>15.155618</v>
      </c>
      <c r="G341">
        <v>3485432</v>
      </c>
      <c r="O341" s="8" t="str">
        <f t="shared" si="5"/>
        <v>Profit</v>
      </c>
      <c r="P341" s="6" t="str">
        <f>IF(Table2[[#This Row],[Close]]&gt;Table2[[#This Row],[Open]],"profite","loss")</f>
        <v>profite</v>
      </c>
    </row>
    <row r="342" spans="1:16" x14ac:dyDescent="0.3">
      <c r="A342" s="1">
        <v>35844</v>
      </c>
      <c r="B342">
        <v>57.580952000000003</v>
      </c>
      <c r="C342">
        <v>58.410206000000002</v>
      </c>
      <c r="D342">
        <v>57.304564999999997</v>
      </c>
      <c r="E342">
        <v>57.623539000000001</v>
      </c>
      <c r="F342">
        <v>15.172415000000001</v>
      </c>
      <c r="G342">
        <v>2792915</v>
      </c>
      <c r="O342" s="8" t="str">
        <f t="shared" si="5"/>
        <v>Profit</v>
      </c>
      <c r="P342" s="5" t="str">
        <f>IF(Table2[[#This Row],[Close]]&gt;Table2[[#This Row],[Open]],"profite","loss")</f>
        <v>profite</v>
      </c>
    </row>
    <row r="343" spans="1:16" x14ac:dyDescent="0.3">
      <c r="A343" s="1">
        <v>35845</v>
      </c>
      <c r="B343">
        <v>57.836136000000003</v>
      </c>
      <c r="C343">
        <v>57.985016000000002</v>
      </c>
      <c r="D343">
        <v>56.560326000000003</v>
      </c>
      <c r="E343">
        <v>56.900500999999998</v>
      </c>
      <c r="F343">
        <v>14.982034000000001</v>
      </c>
      <c r="G343">
        <v>1269616</v>
      </c>
      <c r="O343" s="8" t="str">
        <f t="shared" si="5"/>
        <v>Loss</v>
      </c>
      <c r="P343" s="6" t="str">
        <f>IF(Table2[[#This Row],[Close]]&gt;Table2[[#This Row],[Open]],"profite","loss")</f>
        <v>loss</v>
      </c>
    </row>
    <row r="344" spans="1:16" x14ac:dyDescent="0.3">
      <c r="A344" s="1">
        <v>35846</v>
      </c>
      <c r="B344">
        <v>56.815505999999999</v>
      </c>
      <c r="C344">
        <v>57.368358999999998</v>
      </c>
      <c r="D344">
        <v>56.815505999999999</v>
      </c>
      <c r="E344">
        <v>57.091892000000001</v>
      </c>
      <c r="F344">
        <v>15.03243</v>
      </c>
      <c r="G344">
        <v>822364</v>
      </c>
      <c r="O344" s="8" t="str">
        <f t="shared" si="5"/>
        <v>Profit</v>
      </c>
      <c r="P344" s="5" t="str">
        <f>IF(Table2[[#This Row],[Close]]&gt;Table2[[#This Row],[Open]],"profite","loss")</f>
        <v>profite</v>
      </c>
    </row>
    <row r="345" spans="1:16" x14ac:dyDescent="0.3">
      <c r="A345" s="1">
        <v>35849</v>
      </c>
      <c r="B345">
        <v>57.623539000000001</v>
      </c>
      <c r="C345">
        <v>58.77169</v>
      </c>
      <c r="D345">
        <v>57.559753000000001</v>
      </c>
      <c r="E345">
        <v>57.708553000000002</v>
      </c>
      <c r="F345">
        <v>15.194796999999999</v>
      </c>
      <c r="G345">
        <v>1731294</v>
      </c>
      <c r="O345" s="8" t="str">
        <f t="shared" si="5"/>
        <v>Profit</v>
      </c>
      <c r="P345" s="6" t="str">
        <f>IF(Table2[[#This Row],[Close]]&gt;Table2[[#This Row],[Open]],"profite","loss")</f>
        <v>profite</v>
      </c>
    </row>
    <row r="346" spans="1:16" x14ac:dyDescent="0.3">
      <c r="A346" s="1">
        <v>35850</v>
      </c>
      <c r="B346">
        <v>57.580952000000003</v>
      </c>
      <c r="C346">
        <v>58.261406000000001</v>
      </c>
      <c r="D346">
        <v>57.410862000000002</v>
      </c>
      <c r="E346">
        <v>58.027526999999999</v>
      </c>
      <c r="F346">
        <v>15.278782</v>
      </c>
      <c r="G346">
        <v>1286448</v>
      </c>
      <c r="O346" s="8" t="str">
        <f t="shared" si="5"/>
        <v>Profit</v>
      </c>
      <c r="P346" s="5" t="str">
        <f>IF(Table2[[#This Row],[Close]]&gt;Table2[[#This Row],[Open]],"profite","loss")</f>
        <v>profite</v>
      </c>
    </row>
    <row r="347" spans="1:16" x14ac:dyDescent="0.3">
      <c r="A347" s="1">
        <v>35851</v>
      </c>
      <c r="B347">
        <v>58.176327000000001</v>
      </c>
      <c r="C347">
        <v>59.303336999999999</v>
      </c>
      <c r="D347">
        <v>57.580952000000003</v>
      </c>
      <c r="E347">
        <v>59.239547999999999</v>
      </c>
      <c r="F347">
        <v>15.597911</v>
      </c>
      <c r="G347">
        <v>2227839</v>
      </c>
      <c r="O347" s="8" t="str">
        <f t="shared" si="5"/>
        <v>Profit</v>
      </c>
      <c r="P347" s="6" t="str">
        <f>IF(Table2[[#This Row],[Close]]&gt;Table2[[#This Row],[Open]],"profite","loss")</f>
        <v>profite</v>
      </c>
    </row>
    <row r="348" spans="1:16" x14ac:dyDescent="0.3">
      <c r="A348" s="1">
        <v>35852</v>
      </c>
      <c r="B348">
        <v>59.537230999999998</v>
      </c>
      <c r="C348">
        <v>61.49342</v>
      </c>
      <c r="D348">
        <v>59.430850999999997</v>
      </c>
      <c r="E348">
        <v>61.280822999999998</v>
      </c>
      <c r="F348">
        <v>16.135386</v>
      </c>
      <c r="G348">
        <v>3015338</v>
      </c>
      <c r="O348" s="8" t="str">
        <f t="shared" si="5"/>
        <v>Profit</v>
      </c>
      <c r="P348" s="5" t="str">
        <f>IF(Table2[[#This Row],[Close]]&gt;Table2[[#This Row],[Open]],"profite","loss")</f>
        <v>profite</v>
      </c>
    </row>
    <row r="349" spans="1:16" x14ac:dyDescent="0.3">
      <c r="A349" s="1">
        <v>35853</v>
      </c>
      <c r="B349">
        <v>62.173870000000001</v>
      </c>
      <c r="C349">
        <v>63.959964999999997</v>
      </c>
      <c r="D349">
        <v>62.088776000000003</v>
      </c>
      <c r="E349">
        <v>62.875526000000001</v>
      </c>
      <c r="F349">
        <v>16.555273</v>
      </c>
      <c r="G349">
        <v>3214918</v>
      </c>
      <c r="O349" s="8" t="str">
        <f t="shared" si="5"/>
        <v>Profit</v>
      </c>
      <c r="P349" s="6" t="str">
        <f>IF(Table2[[#This Row],[Close]]&gt;Table2[[#This Row],[Open]],"profite","loss")</f>
        <v>profite</v>
      </c>
    </row>
    <row r="350" spans="1:16" x14ac:dyDescent="0.3">
      <c r="A350" s="1">
        <v>35856</v>
      </c>
      <c r="B350">
        <v>63.109420999999998</v>
      </c>
      <c r="C350">
        <v>64.300139999999999</v>
      </c>
      <c r="D350">
        <v>63.066916999999997</v>
      </c>
      <c r="E350">
        <v>63.768574000000001</v>
      </c>
      <c r="F350">
        <v>16.790414999999999</v>
      </c>
      <c r="G350">
        <v>2451465</v>
      </c>
      <c r="O350" s="8" t="str">
        <f t="shared" si="5"/>
        <v>Profit</v>
      </c>
      <c r="P350" s="5" t="str">
        <f>IF(Table2[[#This Row],[Close]]&gt;Table2[[#This Row],[Open]],"profite","loss")</f>
        <v>profite</v>
      </c>
    </row>
    <row r="351" spans="1:16" x14ac:dyDescent="0.3">
      <c r="A351" s="1">
        <v>35857</v>
      </c>
      <c r="B351">
        <v>63.704777</v>
      </c>
      <c r="C351">
        <v>65.214493000000004</v>
      </c>
      <c r="D351">
        <v>63.258305</v>
      </c>
      <c r="E351">
        <v>64.767914000000005</v>
      </c>
      <c r="F351">
        <v>17.053540999999999</v>
      </c>
      <c r="G351">
        <v>3307494</v>
      </c>
      <c r="O351" s="8" t="str">
        <f t="shared" si="5"/>
        <v>Profit</v>
      </c>
      <c r="P351" s="6" t="str">
        <f>IF(Table2[[#This Row],[Close]]&gt;Table2[[#This Row],[Open]],"profite","loss")</f>
        <v>profite</v>
      </c>
    </row>
    <row r="352" spans="1:16" x14ac:dyDescent="0.3">
      <c r="A352" s="1">
        <v>35858</v>
      </c>
      <c r="B352">
        <v>64.980598000000001</v>
      </c>
      <c r="C352">
        <v>66.979377999999997</v>
      </c>
      <c r="D352">
        <v>64.853012000000007</v>
      </c>
      <c r="E352">
        <v>65.575965999999994</v>
      </c>
      <c r="F352">
        <v>17.266302</v>
      </c>
      <c r="G352">
        <v>3902626</v>
      </c>
      <c r="O352" s="8" t="str">
        <f t="shared" si="5"/>
        <v>Profit</v>
      </c>
      <c r="P352" s="5" t="str">
        <f>IF(Table2[[#This Row],[Close]]&gt;Table2[[#This Row],[Open]],"profite","loss")</f>
        <v>profite</v>
      </c>
    </row>
    <row r="353" spans="1:16" x14ac:dyDescent="0.3">
      <c r="A353" s="1">
        <v>35859</v>
      </c>
      <c r="B353">
        <v>65.065680999999998</v>
      </c>
      <c r="C353">
        <v>66.213836999999998</v>
      </c>
      <c r="D353">
        <v>63.577193999999999</v>
      </c>
      <c r="E353">
        <v>66.043739000000002</v>
      </c>
      <c r="F353">
        <v>17.389471</v>
      </c>
      <c r="G353">
        <v>3974764</v>
      </c>
      <c r="O353" s="8" t="str">
        <f t="shared" si="5"/>
        <v>Profit</v>
      </c>
      <c r="P353" s="6" t="str">
        <f>IF(Table2[[#This Row],[Close]]&gt;Table2[[#This Row],[Open]],"profite","loss")</f>
        <v>profite</v>
      </c>
    </row>
    <row r="354" spans="1:16" x14ac:dyDescent="0.3">
      <c r="A354" s="1">
        <v>35860</v>
      </c>
      <c r="B354">
        <v>66.554091999999997</v>
      </c>
      <c r="C354">
        <v>68.680381999999994</v>
      </c>
      <c r="D354">
        <v>66.128822</v>
      </c>
      <c r="E354">
        <v>67.829918000000006</v>
      </c>
      <c r="F354">
        <v>17.859774000000002</v>
      </c>
      <c r="G354">
        <v>4531423</v>
      </c>
      <c r="O354" s="8" t="str">
        <f t="shared" si="5"/>
        <v>Profit</v>
      </c>
      <c r="P354" s="5" t="str">
        <f>IF(Table2[[#This Row],[Close]]&gt;Table2[[#This Row],[Open]],"profite","loss")</f>
        <v>profite</v>
      </c>
    </row>
    <row r="355" spans="1:16" x14ac:dyDescent="0.3">
      <c r="A355" s="1">
        <v>35863</v>
      </c>
      <c r="B355">
        <v>68.063796999999994</v>
      </c>
      <c r="C355">
        <v>70.551567000000006</v>
      </c>
      <c r="D355">
        <v>67.829918000000006</v>
      </c>
      <c r="E355">
        <v>70.466560000000001</v>
      </c>
      <c r="F355">
        <v>18.554012</v>
      </c>
      <c r="G355">
        <v>3490242</v>
      </c>
      <c r="O355" s="8" t="str">
        <f t="shared" si="5"/>
        <v>Profit</v>
      </c>
      <c r="P355" s="6" t="str">
        <f>IF(Table2[[#This Row],[Close]]&gt;Table2[[#This Row],[Open]],"profite","loss")</f>
        <v>profite</v>
      </c>
    </row>
    <row r="356" spans="1:16" x14ac:dyDescent="0.3">
      <c r="A356" s="1">
        <v>35864</v>
      </c>
      <c r="B356">
        <v>70.381461999999999</v>
      </c>
      <c r="C356">
        <v>70.849236000000005</v>
      </c>
      <c r="D356">
        <v>68.722969000000006</v>
      </c>
      <c r="E356">
        <v>69.722313</v>
      </c>
      <c r="F356">
        <v>18.358046999999999</v>
      </c>
      <c r="G356">
        <v>2263908</v>
      </c>
      <c r="O356" s="8" t="str">
        <f t="shared" si="5"/>
        <v>Loss</v>
      </c>
      <c r="P356" s="5" t="str">
        <f>IF(Table2[[#This Row],[Close]]&gt;Table2[[#This Row],[Open]],"profite","loss")</f>
        <v>loss</v>
      </c>
    </row>
    <row r="357" spans="1:16" x14ac:dyDescent="0.3">
      <c r="A357" s="1">
        <v>35865</v>
      </c>
      <c r="B357">
        <v>73.358367999999999</v>
      </c>
      <c r="C357">
        <v>74.187629999999999</v>
      </c>
      <c r="D357">
        <v>68.893058999999994</v>
      </c>
      <c r="E357">
        <v>69.743599000000003</v>
      </c>
      <c r="F357">
        <v>18.363651000000001</v>
      </c>
      <c r="G357">
        <v>5023159</v>
      </c>
      <c r="O357" s="8" t="str">
        <f t="shared" si="5"/>
        <v>Loss</v>
      </c>
      <c r="P357" s="6" t="str">
        <f>IF(Table2[[#This Row],[Close]]&gt;Table2[[#This Row],[Open]],"profite","loss")</f>
        <v>loss</v>
      </c>
    </row>
    <row r="358" spans="1:16" x14ac:dyDescent="0.3">
      <c r="A358" s="1">
        <v>35866</v>
      </c>
      <c r="B358">
        <v>70.168869000000001</v>
      </c>
      <c r="C358">
        <v>70.168869000000001</v>
      </c>
      <c r="D358">
        <v>67.829918000000006</v>
      </c>
      <c r="E358">
        <v>69.212029000000001</v>
      </c>
      <c r="F358">
        <v>18.223687999999999</v>
      </c>
      <c r="G358">
        <v>2506770</v>
      </c>
      <c r="O358" s="8" t="str">
        <f t="shared" si="5"/>
        <v>Loss</v>
      </c>
      <c r="P358" s="5" t="str">
        <f>IF(Table2[[#This Row],[Close]]&gt;Table2[[#This Row],[Open]],"profite","loss")</f>
        <v>loss</v>
      </c>
    </row>
    <row r="359" spans="1:16" x14ac:dyDescent="0.3">
      <c r="A359" s="1">
        <v>35867</v>
      </c>
      <c r="B359">
        <v>69.658516000000006</v>
      </c>
      <c r="C359">
        <v>69.828613000000004</v>
      </c>
      <c r="D359">
        <v>68.212608000000003</v>
      </c>
      <c r="E359">
        <v>68.467788999999996</v>
      </c>
      <c r="F359">
        <v>18.027726999999999</v>
      </c>
      <c r="G359">
        <v>1627897</v>
      </c>
      <c r="O359" s="8" t="str">
        <f t="shared" si="5"/>
        <v>Loss</v>
      </c>
      <c r="P359" s="6" t="str">
        <f>IF(Table2[[#This Row],[Close]]&gt;Table2[[#This Row],[Open]],"profite","loss")</f>
        <v>loss</v>
      </c>
    </row>
    <row r="360" spans="1:16" x14ac:dyDescent="0.3">
      <c r="A360" s="1">
        <v>35870</v>
      </c>
      <c r="B360">
        <v>68.680381999999994</v>
      </c>
      <c r="C360">
        <v>69.318320999999997</v>
      </c>
      <c r="D360">
        <v>68.340187</v>
      </c>
      <c r="E360">
        <v>69.063141000000002</v>
      </c>
      <c r="F360">
        <v>18.184488000000002</v>
      </c>
      <c r="G360">
        <v>1339348</v>
      </c>
      <c r="O360" s="8" t="str">
        <f t="shared" si="5"/>
        <v>Profit</v>
      </c>
      <c r="P360" s="5" t="str">
        <f>IF(Table2[[#This Row],[Close]]&gt;Table2[[#This Row],[Open]],"profite","loss")</f>
        <v>profite</v>
      </c>
    </row>
    <row r="361" spans="1:16" x14ac:dyDescent="0.3">
      <c r="A361" s="1">
        <v>35871</v>
      </c>
      <c r="B361">
        <v>70.934334000000007</v>
      </c>
      <c r="C361">
        <v>71.721085000000002</v>
      </c>
      <c r="D361">
        <v>70.806740000000005</v>
      </c>
      <c r="E361">
        <v>71.061913000000004</v>
      </c>
      <c r="F361">
        <v>18.71077</v>
      </c>
      <c r="G361">
        <v>1719271</v>
      </c>
      <c r="O361" s="8" t="str">
        <f t="shared" si="5"/>
        <v>Profit</v>
      </c>
      <c r="P361" s="6" t="str">
        <f>IF(Table2[[#This Row],[Close]]&gt;Table2[[#This Row],[Open]],"profite","loss")</f>
        <v>profite</v>
      </c>
    </row>
    <row r="362" spans="1:16" x14ac:dyDescent="0.3">
      <c r="A362" s="1">
        <v>35872</v>
      </c>
      <c r="B362">
        <v>71.125716999999995</v>
      </c>
      <c r="C362">
        <v>71.657287999999994</v>
      </c>
      <c r="D362">
        <v>69.743599000000003</v>
      </c>
      <c r="E362">
        <v>70.551567000000006</v>
      </c>
      <c r="F362">
        <v>18.576391000000001</v>
      </c>
      <c r="G362">
        <v>1712058</v>
      </c>
      <c r="O362" s="8" t="str">
        <f t="shared" si="5"/>
        <v>Loss</v>
      </c>
      <c r="P362" s="5" t="str">
        <f>IF(Table2[[#This Row],[Close]]&gt;Table2[[#This Row],[Open]],"profite","loss")</f>
        <v>loss</v>
      </c>
    </row>
    <row r="363" spans="1:16" x14ac:dyDescent="0.3">
      <c r="A363" s="1">
        <v>35873</v>
      </c>
      <c r="B363">
        <v>70.998123000000007</v>
      </c>
      <c r="C363">
        <v>71.274512999999999</v>
      </c>
      <c r="D363">
        <v>70.551567000000006</v>
      </c>
      <c r="E363">
        <v>70.551567000000006</v>
      </c>
      <c r="F363">
        <v>18.576391000000001</v>
      </c>
      <c r="G363">
        <v>1044788</v>
      </c>
      <c r="O363" s="8" t="str">
        <f t="shared" si="5"/>
        <v>Loss</v>
      </c>
      <c r="P363" s="6" t="str">
        <f>IF(Table2[[#This Row],[Close]]&gt;Table2[[#This Row],[Open]],"profite","loss")</f>
        <v>loss</v>
      </c>
    </row>
    <row r="364" spans="1:16" x14ac:dyDescent="0.3">
      <c r="A364" s="1">
        <v>35874</v>
      </c>
      <c r="B364">
        <v>71.061913000000004</v>
      </c>
      <c r="C364">
        <v>72.592833999999996</v>
      </c>
      <c r="D364">
        <v>70.976837000000003</v>
      </c>
      <c r="E364">
        <v>72.188857999999996</v>
      </c>
      <c r="F364">
        <v>19.007496</v>
      </c>
      <c r="G364">
        <v>1952515</v>
      </c>
      <c r="O364" s="8" t="str">
        <f t="shared" si="5"/>
        <v>Profit</v>
      </c>
      <c r="P364" s="5" t="str">
        <f>IF(Table2[[#This Row],[Close]]&gt;Table2[[#This Row],[Open]],"profite","loss")</f>
        <v>profite</v>
      </c>
    </row>
    <row r="365" spans="1:16" x14ac:dyDescent="0.3">
      <c r="A365" s="1">
        <v>35877</v>
      </c>
      <c r="B365">
        <v>73.145698999999993</v>
      </c>
      <c r="C365">
        <v>73.464668000000003</v>
      </c>
      <c r="D365">
        <v>71.274512999999999</v>
      </c>
      <c r="E365">
        <v>73.145698999999993</v>
      </c>
      <c r="F365">
        <v>19.259436000000001</v>
      </c>
      <c r="G365">
        <v>1789004</v>
      </c>
      <c r="O365" s="8" t="str">
        <f t="shared" si="5"/>
        <v>No Change</v>
      </c>
      <c r="P365" s="6" t="str">
        <f>IF(Table2[[#This Row],[Close]]&gt;Table2[[#This Row],[Open]],"profite","loss")</f>
        <v>loss</v>
      </c>
    </row>
    <row r="366" spans="1:16" x14ac:dyDescent="0.3">
      <c r="A366" s="1">
        <v>35878</v>
      </c>
      <c r="B366">
        <v>72.614136000000002</v>
      </c>
      <c r="C366">
        <v>73.996239000000003</v>
      </c>
      <c r="D366">
        <v>72.444038000000006</v>
      </c>
      <c r="E366">
        <v>73.783562000000003</v>
      </c>
      <c r="F366">
        <v>19.427382000000001</v>
      </c>
      <c r="G366">
        <v>1976561</v>
      </c>
      <c r="O366" s="8" t="str">
        <f t="shared" si="5"/>
        <v>Profit</v>
      </c>
      <c r="P366" s="5" t="str">
        <f>IF(Table2[[#This Row],[Close]]&gt;Table2[[#This Row],[Open]],"profite","loss")</f>
        <v>profite</v>
      </c>
    </row>
    <row r="367" spans="1:16" x14ac:dyDescent="0.3">
      <c r="A367" s="1">
        <v>35879</v>
      </c>
      <c r="B367">
        <v>74.208832000000001</v>
      </c>
      <c r="C367">
        <v>74.549109999999999</v>
      </c>
      <c r="D367">
        <v>73.656058999999999</v>
      </c>
      <c r="E367">
        <v>74.038749999999993</v>
      </c>
      <c r="F367">
        <v>19.494575999999999</v>
      </c>
      <c r="G367">
        <v>2285549</v>
      </c>
      <c r="O367" s="8" t="str">
        <f t="shared" si="5"/>
        <v>Loss</v>
      </c>
      <c r="P367" s="6" t="str">
        <f>IF(Table2[[#This Row],[Close]]&gt;Table2[[#This Row],[Open]],"profite","loss")</f>
        <v>loss</v>
      </c>
    </row>
    <row r="368" spans="1:16" x14ac:dyDescent="0.3">
      <c r="A368" s="1">
        <v>35880</v>
      </c>
      <c r="B368">
        <v>73.953734999999995</v>
      </c>
      <c r="C368">
        <v>73.953734999999995</v>
      </c>
      <c r="D368">
        <v>71.635986000000003</v>
      </c>
      <c r="E368">
        <v>72.444038000000006</v>
      </c>
      <c r="F368">
        <v>19.074684000000001</v>
      </c>
      <c r="G368">
        <v>2083565</v>
      </c>
      <c r="O368" s="8" t="str">
        <f t="shared" si="5"/>
        <v>Loss</v>
      </c>
      <c r="P368" s="5" t="str">
        <f>IF(Table2[[#This Row],[Close]]&gt;Table2[[#This Row],[Open]],"profite","loss")</f>
        <v>loss</v>
      </c>
    </row>
    <row r="369" spans="1:16" x14ac:dyDescent="0.3">
      <c r="A369" s="1">
        <v>35881</v>
      </c>
      <c r="B369">
        <v>72.507835</v>
      </c>
      <c r="C369">
        <v>73.613479999999996</v>
      </c>
      <c r="D369">
        <v>71.912468000000004</v>
      </c>
      <c r="E369">
        <v>72.635329999999996</v>
      </c>
      <c r="F369">
        <v>19.125050999999999</v>
      </c>
      <c r="G369">
        <v>1900817</v>
      </c>
      <c r="O369" s="8" t="str">
        <f t="shared" si="5"/>
        <v>Profit</v>
      </c>
      <c r="P369" s="6" t="str">
        <f>IF(Table2[[#This Row],[Close]]&gt;Table2[[#This Row],[Open]],"profite","loss")</f>
        <v>profite</v>
      </c>
    </row>
    <row r="370" spans="1:16" x14ac:dyDescent="0.3">
      <c r="A370" s="1">
        <v>35884</v>
      </c>
      <c r="B370">
        <v>73.039406</v>
      </c>
      <c r="C370">
        <v>73.188202000000004</v>
      </c>
      <c r="D370">
        <v>71.232017999999997</v>
      </c>
      <c r="E370">
        <v>72.337661999999995</v>
      </c>
      <c r="F370">
        <v>19.046679000000001</v>
      </c>
      <c r="G370">
        <v>983471</v>
      </c>
      <c r="O370" s="8" t="str">
        <f t="shared" si="5"/>
        <v>Loss</v>
      </c>
      <c r="P370" s="5" t="str">
        <f>IF(Table2[[#This Row],[Close]]&gt;Table2[[#This Row],[Open]],"profite","loss")</f>
        <v>loss</v>
      </c>
    </row>
    <row r="371" spans="1:16" x14ac:dyDescent="0.3">
      <c r="A371" s="1">
        <v>35885</v>
      </c>
      <c r="B371">
        <v>72.890511000000004</v>
      </c>
      <c r="C371">
        <v>73.060699</v>
      </c>
      <c r="D371">
        <v>71.444610999999995</v>
      </c>
      <c r="E371">
        <v>72.401450999999994</v>
      </c>
      <c r="F371">
        <v>19.063471</v>
      </c>
      <c r="G371">
        <v>1601447</v>
      </c>
      <c r="O371" s="8" t="str">
        <f t="shared" si="5"/>
        <v>Loss</v>
      </c>
      <c r="P371" s="6" t="str">
        <f>IF(Table2[[#This Row],[Close]]&gt;Table2[[#This Row],[Open]],"profite","loss")</f>
        <v>loss</v>
      </c>
    </row>
    <row r="372" spans="1:16" x14ac:dyDescent="0.3">
      <c r="A372" s="1">
        <v>35886</v>
      </c>
      <c r="B372">
        <v>72.295158000000001</v>
      </c>
      <c r="C372">
        <v>73.443382</v>
      </c>
      <c r="D372">
        <v>72.082565000000002</v>
      </c>
      <c r="E372">
        <v>72.805519000000004</v>
      </c>
      <c r="F372">
        <v>19.169862999999999</v>
      </c>
      <c r="G372">
        <v>1460779</v>
      </c>
      <c r="O372" s="8" t="str">
        <f t="shared" si="5"/>
        <v>Profit</v>
      </c>
      <c r="P372" s="5" t="str">
        <f>IF(Table2[[#This Row],[Close]]&gt;Table2[[#This Row],[Open]],"profite","loss")</f>
        <v>profite</v>
      </c>
    </row>
    <row r="373" spans="1:16" x14ac:dyDescent="0.3">
      <c r="A373" s="1">
        <v>35887</v>
      </c>
      <c r="B373">
        <v>72.720427999999998</v>
      </c>
      <c r="C373">
        <v>74.634101999999999</v>
      </c>
      <c r="D373">
        <v>72.720427999999998</v>
      </c>
      <c r="E373">
        <v>74.081253000000004</v>
      </c>
      <c r="F373">
        <v>19.505769999999998</v>
      </c>
      <c r="G373">
        <v>2834995</v>
      </c>
      <c r="O373" s="8" t="str">
        <f t="shared" si="5"/>
        <v>Profit</v>
      </c>
      <c r="P373" s="6" t="str">
        <f>IF(Table2[[#This Row],[Close]]&gt;Table2[[#This Row],[Open]],"profite","loss")</f>
        <v>profite</v>
      </c>
    </row>
    <row r="374" spans="1:16" x14ac:dyDescent="0.3">
      <c r="A374" s="1">
        <v>35888</v>
      </c>
      <c r="B374">
        <v>74.676604999999995</v>
      </c>
      <c r="C374">
        <v>77.759818999999993</v>
      </c>
      <c r="D374">
        <v>74.634101999999999</v>
      </c>
      <c r="E374">
        <v>77.759818999999993</v>
      </c>
      <c r="F374">
        <v>20.474339000000001</v>
      </c>
      <c r="G374">
        <v>3543142</v>
      </c>
      <c r="O374" s="8" t="str">
        <f t="shared" si="5"/>
        <v>Profit</v>
      </c>
      <c r="P374" s="5" t="str">
        <f>IF(Table2[[#This Row],[Close]]&gt;Table2[[#This Row],[Open]],"profite","loss")</f>
        <v>profite</v>
      </c>
    </row>
    <row r="375" spans="1:16" x14ac:dyDescent="0.3">
      <c r="A375" s="1">
        <v>35891</v>
      </c>
      <c r="B375">
        <v>77.993697999999995</v>
      </c>
      <c r="C375">
        <v>81.204505999999995</v>
      </c>
      <c r="D375">
        <v>77.887405000000001</v>
      </c>
      <c r="E375">
        <v>81.098206000000005</v>
      </c>
      <c r="F375">
        <v>21.353352000000001</v>
      </c>
      <c r="G375">
        <v>3182456</v>
      </c>
      <c r="O375" s="8" t="str">
        <f t="shared" si="5"/>
        <v>Profit</v>
      </c>
      <c r="P375" s="6" t="str">
        <f>IF(Table2[[#This Row],[Close]]&gt;Table2[[#This Row],[Open]],"profite","loss")</f>
        <v>profite</v>
      </c>
    </row>
    <row r="376" spans="1:16" x14ac:dyDescent="0.3">
      <c r="A376" s="1">
        <v>35892</v>
      </c>
      <c r="B376">
        <v>81.013114999999999</v>
      </c>
      <c r="C376">
        <v>81.650986000000003</v>
      </c>
      <c r="D376">
        <v>79.312027</v>
      </c>
      <c r="E376">
        <v>80.120070999999996</v>
      </c>
      <c r="F376">
        <v>21.095797000000001</v>
      </c>
      <c r="G376">
        <v>2397362</v>
      </c>
      <c r="O376" s="8" t="str">
        <f t="shared" si="5"/>
        <v>Loss</v>
      </c>
      <c r="P376" s="5" t="str">
        <f>IF(Table2[[#This Row],[Close]]&gt;Table2[[#This Row],[Open]],"profite","loss")</f>
        <v>loss</v>
      </c>
    </row>
    <row r="377" spans="1:16" x14ac:dyDescent="0.3">
      <c r="A377" s="1">
        <v>35893</v>
      </c>
      <c r="B377">
        <v>80.757926999999995</v>
      </c>
      <c r="C377">
        <v>81.395882</v>
      </c>
      <c r="D377">
        <v>78.078789</v>
      </c>
      <c r="E377">
        <v>78.567856000000006</v>
      </c>
      <c r="F377">
        <v>20.687093999999998</v>
      </c>
      <c r="G377">
        <v>2660663</v>
      </c>
      <c r="O377" s="8" t="str">
        <f t="shared" si="5"/>
        <v>Loss</v>
      </c>
      <c r="P377" s="6" t="str">
        <f>IF(Table2[[#This Row],[Close]]&gt;Table2[[#This Row],[Open]],"profite","loss")</f>
        <v>loss</v>
      </c>
    </row>
    <row r="378" spans="1:16" x14ac:dyDescent="0.3">
      <c r="A378" s="1">
        <v>35894</v>
      </c>
      <c r="B378">
        <v>78.248878000000005</v>
      </c>
      <c r="C378">
        <v>81.502173999999997</v>
      </c>
      <c r="D378">
        <v>77.653525999999999</v>
      </c>
      <c r="E378">
        <v>80.609131000000005</v>
      </c>
      <c r="F378">
        <v>21.224572999999999</v>
      </c>
      <c r="G378">
        <v>3041788</v>
      </c>
      <c r="O378" s="8" t="str">
        <f t="shared" si="5"/>
        <v>Profit</v>
      </c>
      <c r="P378" s="5" t="str">
        <f>IF(Table2[[#This Row],[Close]]&gt;Table2[[#This Row],[Open]],"profite","loss")</f>
        <v>profite</v>
      </c>
    </row>
    <row r="379" spans="1:16" x14ac:dyDescent="0.3">
      <c r="A379" s="1">
        <v>35895</v>
      </c>
      <c r="B379">
        <v>80.609131000000005</v>
      </c>
      <c r="C379">
        <v>80.609131000000005</v>
      </c>
      <c r="D379">
        <v>80.609131000000005</v>
      </c>
      <c r="E379">
        <v>80.609131000000005</v>
      </c>
      <c r="F379">
        <v>21.224572999999999</v>
      </c>
      <c r="G379">
        <v>0</v>
      </c>
      <c r="O379" s="8" t="str">
        <f t="shared" si="5"/>
        <v>No Change</v>
      </c>
      <c r="P379" s="6" t="str">
        <f>IF(Table2[[#This Row],[Close]]&gt;Table2[[#This Row],[Open]],"profite","loss")</f>
        <v>loss</v>
      </c>
    </row>
    <row r="380" spans="1:16" x14ac:dyDescent="0.3">
      <c r="A380" s="1">
        <v>35898</v>
      </c>
      <c r="B380">
        <v>80.609131000000005</v>
      </c>
      <c r="C380">
        <v>80.609131000000005</v>
      </c>
      <c r="D380">
        <v>80.609131000000005</v>
      </c>
      <c r="E380">
        <v>80.609131000000005</v>
      </c>
      <c r="F380">
        <v>21.224572999999999</v>
      </c>
      <c r="G380">
        <v>0</v>
      </c>
      <c r="O380" s="8" t="str">
        <f t="shared" si="5"/>
        <v>No Change</v>
      </c>
      <c r="P380" s="5" t="str">
        <f>IF(Table2[[#This Row],[Close]]&gt;Table2[[#This Row],[Open]],"profite","loss")</f>
        <v>loss</v>
      </c>
    </row>
    <row r="381" spans="1:16" x14ac:dyDescent="0.3">
      <c r="A381" s="1">
        <v>35899</v>
      </c>
      <c r="B381">
        <v>81.523476000000002</v>
      </c>
      <c r="C381">
        <v>84.202788999999996</v>
      </c>
      <c r="D381">
        <v>81.523476000000002</v>
      </c>
      <c r="E381">
        <v>82.926795999999996</v>
      </c>
      <c r="F381">
        <v>21.834824000000001</v>
      </c>
      <c r="G381">
        <v>3332742</v>
      </c>
      <c r="O381" s="8" t="str">
        <f t="shared" si="5"/>
        <v>Profit</v>
      </c>
      <c r="P381" s="6" t="str">
        <f>IF(Table2[[#This Row],[Close]]&gt;Table2[[#This Row],[Open]],"profite","loss")</f>
        <v>profite</v>
      </c>
    </row>
    <row r="382" spans="1:16" x14ac:dyDescent="0.3">
      <c r="A382" s="1">
        <v>35900</v>
      </c>
      <c r="B382">
        <v>83.522414999999995</v>
      </c>
      <c r="C382">
        <v>84.03228</v>
      </c>
      <c r="D382">
        <v>81.076903999999999</v>
      </c>
      <c r="E382">
        <v>81.395882</v>
      </c>
      <c r="F382">
        <v>21.431726000000001</v>
      </c>
      <c r="G382">
        <v>1974156</v>
      </c>
      <c r="O382" s="8" t="str">
        <f t="shared" si="5"/>
        <v>Loss</v>
      </c>
      <c r="P382" s="5" t="str">
        <f>IF(Table2[[#This Row],[Close]]&gt;Table2[[#This Row],[Open]],"profite","loss")</f>
        <v>loss</v>
      </c>
    </row>
    <row r="383" spans="1:16" x14ac:dyDescent="0.3">
      <c r="A383" s="1">
        <v>35901</v>
      </c>
      <c r="B383">
        <v>81.650986000000003</v>
      </c>
      <c r="C383">
        <v>82.161345999999995</v>
      </c>
      <c r="D383">
        <v>79.5672</v>
      </c>
      <c r="E383">
        <v>80.800522000000001</v>
      </c>
      <c r="F383">
        <v>21.27496</v>
      </c>
      <c r="G383">
        <v>2043889</v>
      </c>
      <c r="O383" s="8" t="str">
        <f t="shared" si="5"/>
        <v>Loss</v>
      </c>
      <c r="P383" s="6" t="str">
        <f>IF(Table2[[#This Row],[Close]]&gt;Table2[[#This Row],[Open]],"profite","loss")</f>
        <v>loss</v>
      </c>
    </row>
    <row r="384" spans="1:16" x14ac:dyDescent="0.3">
      <c r="A384" s="1">
        <v>35902</v>
      </c>
      <c r="B384">
        <v>80.587845000000002</v>
      </c>
      <c r="C384">
        <v>80.970618999999999</v>
      </c>
      <c r="D384">
        <v>78.929337000000004</v>
      </c>
      <c r="E384">
        <v>79.992476999999994</v>
      </c>
      <c r="F384">
        <v>21.062201999999999</v>
      </c>
      <c r="G384">
        <v>1992191</v>
      </c>
      <c r="O384" s="8" t="str">
        <f t="shared" si="5"/>
        <v>Loss</v>
      </c>
      <c r="P384" s="5" t="str">
        <f>IF(Table2[[#This Row],[Close]]&gt;Table2[[#This Row],[Open]],"profite","loss")</f>
        <v>loss</v>
      </c>
    </row>
    <row r="385" spans="1:16" x14ac:dyDescent="0.3">
      <c r="A385" s="1">
        <v>35905</v>
      </c>
      <c r="B385">
        <v>80.970618999999999</v>
      </c>
      <c r="C385">
        <v>81.395882</v>
      </c>
      <c r="D385">
        <v>79.099434000000002</v>
      </c>
      <c r="E385">
        <v>79.439621000000002</v>
      </c>
      <c r="F385">
        <v>20.916637000000001</v>
      </c>
      <c r="G385">
        <v>1673584</v>
      </c>
      <c r="O385" s="8" t="str">
        <f t="shared" si="5"/>
        <v>Loss</v>
      </c>
      <c r="P385" s="6" t="str">
        <f>IF(Table2[[#This Row],[Close]]&gt;Table2[[#This Row],[Open]],"profite","loss")</f>
        <v>loss</v>
      </c>
    </row>
    <row r="386" spans="1:16" x14ac:dyDescent="0.3">
      <c r="A386" s="1">
        <v>35906</v>
      </c>
      <c r="B386">
        <v>79.631004000000004</v>
      </c>
      <c r="C386">
        <v>79.737296999999998</v>
      </c>
      <c r="D386">
        <v>77.313338999999999</v>
      </c>
      <c r="E386">
        <v>78.248878000000005</v>
      </c>
      <c r="F386">
        <v>20.603114999999999</v>
      </c>
      <c r="G386">
        <v>2233851</v>
      </c>
      <c r="O386" s="8" t="str">
        <f t="shared" si="5"/>
        <v>Loss</v>
      </c>
      <c r="P386" s="5" t="str">
        <f>IF(Table2[[#This Row],[Close]]&gt;Table2[[#This Row],[Open]],"profite","loss")</f>
        <v>loss</v>
      </c>
    </row>
    <row r="387" spans="1:16" x14ac:dyDescent="0.3">
      <c r="A387" s="1">
        <v>35907</v>
      </c>
      <c r="B387">
        <v>77.823607999999993</v>
      </c>
      <c r="C387">
        <v>78.695457000000005</v>
      </c>
      <c r="D387">
        <v>76.951858999999999</v>
      </c>
      <c r="E387">
        <v>77.270752000000002</v>
      </c>
      <c r="F387">
        <v>20.345568</v>
      </c>
      <c r="G387">
        <v>1443947</v>
      </c>
      <c r="O387" s="8" t="str">
        <f t="shared" ref="O387:O450" si="6">IF(E387&gt;B387,"Profit",IF(E387&lt;B387,"Loss","No Change"))</f>
        <v>Loss</v>
      </c>
      <c r="P387" s="6" t="str">
        <f>IF(Table2[[#This Row],[Close]]&gt;Table2[[#This Row],[Open]],"profite","loss")</f>
        <v>loss</v>
      </c>
    </row>
    <row r="388" spans="1:16" x14ac:dyDescent="0.3">
      <c r="A388" s="1">
        <v>35908</v>
      </c>
      <c r="B388">
        <v>77.313338999999999</v>
      </c>
      <c r="C388">
        <v>77.525931999999997</v>
      </c>
      <c r="D388">
        <v>74.953079000000002</v>
      </c>
      <c r="E388">
        <v>76.973067999999998</v>
      </c>
      <c r="F388">
        <v>20.267182999999999</v>
      </c>
      <c r="G388">
        <v>2526007</v>
      </c>
      <c r="O388" s="8" t="str">
        <f t="shared" si="6"/>
        <v>Loss</v>
      </c>
      <c r="P388" s="5" t="str">
        <f>IF(Table2[[#This Row],[Close]]&gt;Table2[[#This Row],[Open]],"profite","loss")</f>
        <v>loss</v>
      </c>
    </row>
    <row r="389" spans="1:16" x14ac:dyDescent="0.3">
      <c r="A389" s="1">
        <v>35909</v>
      </c>
      <c r="B389">
        <v>76.547798</v>
      </c>
      <c r="C389">
        <v>77.100655000000003</v>
      </c>
      <c r="D389">
        <v>75.484656999999999</v>
      </c>
      <c r="E389">
        <v>76.824264999999997</v>
      </c>
      <c r="F389">
        <v>20.228012</v>
      </c>
      <c r="G389">
        <v>1964538</v>
      </c>
      <c r="O389" s="8" t="str">
        <f t="shared" si="6"/>
        <v>Profit</v>
      </c>
      <c r="P389" s="6" t="str">
        <f>IF(Table2[[#This Row],[Close]]&gt;Table2[[#This Row],[Open]],"profite","loss")</f>
        <v>profite</v>
      </c>
    </row>
    <row r="390" spans="1:16" x14ac:dyDescent="0.3">
      <c r="A390" s="1">
        <v>35912</v>
      </c>
      <c r="B390">
        <v>76.143805999999998</v>
      </c>
      <c r="C390">
        <v>77.015656000000007</v>
      </c>
      <c r="D390">
        <v>74.549109999999999</v>
      </c>
      <c r="E390">
        <v>74.740402000000003</v>
      </c>
      <c r="F390">
        <v>19.679324999999999</v>
      </c>
      <c r="G390">
        <v>2150893</v>
      </c>
      <c r="O390" s="8" t="str">
        <f t="shared" si="6"/>
        <v>Loss</v>
      </c>
      <c r="P390" s="5" t="str">
        <f>IF(Table2[[#This Row],[Close]]&gt;Table2[[#This Row],[Open]],"profite","loss")</f>
        <v>loss</v>
      </c>
    </row>
    <row r="391" spans="1:16" x14ac:dyDescent="0.3">
      <c r="A391" s="1">
        <v>35913</v>
      </c>
      <c r="B391">
        <v>75.272064</v>
      </c>
      <c r="C391">
        <v>75.867431999999994</v>
      </c>
      <c r="D391">
        <v>74.549109999999999</v>
      </c>
      <c r="E391">
        <v>75.229477000000003</v>
      </c>
      <c r="F391">
        <v>19.8081</v>
      </c>
      <c r="G391">
        <v>2096790</v>
      </c>
      <c r="O391" s="8" t="str">
        <f t="shared" si="6"/>
        <v>Loss</v>
      </c>
      <c r="P391" s="6" t="str">
        <f>IF(Table2[[#This Row],[Close]]&gt;Table2[[#This Row],[Open]],"profite","loss")</f>
        <v>loss</v>
      </c>
    </row>
    <row r="392" spans="1:16" x14ac:dyDescent="0.3">
      <c r="A392" s="1">
        <v>35914</v>
      </c>
      <c r="B392">
        <v>75.272064</v>
      </c>
      <c r="C392">
        <v>75.973724000000004</v>
      </c>
      <c r="D392">
        <v>74.527809000000005</v>
      </c>
      <c r="E392">
        <v>74.889281999999994</v>
      </c>
      <c r="F392">
        <v>19.718527000000002</v>
      </c>
      <c r="G392">
        <v>1787802</v>
      </c>
      <c r="O392" s="8" t="str">
        <f t="shared" si="6"/>
        <v>Loss</v>
      </c>
      <c r="P392" s="5" t="str">
        <f>IF(Table2[[#This Row],[Close]]&gt;Table2[[#This Row],[Open]],"profite","loss")</f>
        <v>loss</v>
      </c>
    </row>
    <row r="393" spans="1:16" x14ac:dyDescent="0.3">
      <c r="A393" s="1">
        <v>35915</v>
      </c>
      <c r="B393">
        <v>75.272064</v>
      </c>
      <c r="C393">
        <v>76.313903999999994</v>
      </c>
      <c r="D393">
        <v>74.187629999999999</v>
      </c>
      <c r="E393">
        <v>75.633529999999993</v>
      </c>
      <c r="F393">
        <v>19.914486</v>
      </c>
      <c r="G393">
        <v>1754138</v>
      </c>
      <c r="O393" s="8" t="str">
        <f t="shared" si="6"/>
        <v>Profit</v>
      </c>
      <c r="P393" s="6" t="str">
        <f>IF(Table2[[#This Row],[Close]]&gt;Table2[[#This Row],[Open]],"profite","loss")</f>
        <v>profite</v>
      </c>
    </row>
    <row r="394" spans="1:16" x14ac:dyDescent="0.3">
      <c r="A394" s="1">
        <v>35916</v>
      </c>
      <c r="B394">
        <v>75.633529999999993</v>
      </c>
      <c r="C394">
        <v>75.633529999999993</v>
      </c>
      <c r="D394">
        <v>75.633529999999993</v>
      </c>
      <c r="E394">
        <v>75.633529999999993</v>
      </c>
      <c r="F394">
        <v>19.914486</v>
      </c>
      <c r="G394">
        <v>0</v>
      </c>
      <c r="O394" s="8" t="str">
        <f t="shared" si="6"/>
        <v>No Change</v>
      </c>
      <c r="P394" s="5" t="str">
        <f>IF(Table2[[#This Row],[Close]]&gt;Table2[[#This Row],[Open]],"profite","loss")</f>
        <v>loss</v>
      </c>
    </row>
    <row r="395" spans="1:16" x14ac:dyDescent="0.3">
      <c r="A395" s="1">
        <v>35919</v>
      </c>
      <c r="B395">
        <v>76.292702000000006</v>
      </c>
      <c r="C395">
        <v>78.014999000000003</v>
      </c>
      <c r="D395">
        <v>76.122528000000003</v>
      </c>
      <c r="E395">
        <v>77.568427999999997</v>
      </c>
      <c r="F395">
        <v>20.423946000000001</v>
      </c>
      <c r="G395">
        <v>2625796</v>
      </c>
      <c r="O395" s="8" t="str">
        <f t="shared" si="6"/>
        <v>Profit</v>
      </c>
      <c r="P395" s="6" t="str">
        <f>IF(Table2[[#This Row],[Close]]&gt;Table2[[#This Row],[Open]],"profite","loss")</f>
        <v>profite</v>
      </c>
    </row>
    <row r="396" spans="1:16" x14ac:dyDescent="0.3">
      <c r="A396" s="1">
        <v>35920</v>
      </c>
      <c r="B396">
        <v>77.759818999999993</v>
      </c>
      <c r="C396">
        <v>77.802406000000005</v>
      </c>
      <c r="D396">
        <v>75.803635</v>
      </c>
      <c r="E396">
        <v>75.888641000000007</v>
      </c>
      <c r="F396">
        <v>19.981656999999998</v>
      </c>
      <c r="G396">
        <v>2313202</v>
      </c>
      <c r="O396" s="8" t="str">
        <f t="shared" si="6"/>
        <v>Loss</v>
      </c>
      <c r="P396" s="5" t="str">
        <f>IF(Table2[[#This Row],[Close]]&gt;Table2[[#This Row],[Open]],"profite","loss")</f>
        <v>loss</v>
      </c>
    </row>
    <row r="397" spans="1:16" x14ac:dyDescent="0.3">
      <c r="A397" s="1">
        <v>35921</v>
      </c>
      <c r="B397">
        <v>79.524704</v>
      </c>
      <c r="C397">
        <v>84.074698999999995</v>
      </c>
      <c r="D397">
        <v>78.206383000000002</v>
      </c>
      <c r="E397">
        <v>82.246337999999994</v>
      </c>
      <c r="F397">
        <v>21.655650999999999</v>
      </c>
      <c r="G397">
        <v>10640248</v>
      </c>
      <c r="O397" s="8" t="str">
        <f t="shared" si="6"/>
        <v>Profit</v>
      </c>
      <c r="P397" s="6" t="str">
        <f>IF(Table2[[#This Row],[Close]]&gt;Table2[[#This Row],[Open]],"profite","loss")</f>
        <v>profite</v>
      </c>
    </row>
    <row r="398" spans="1:16" x14ac:dyDescent="0.3">
      <c r="A398" s="1">
        <v>35922</v>
      </c>
      <c r="B398">
        <v>84.202788999999996</v>
      </c>
      <c r="C398">
        <v>92.282379000000006</v>
      </c>
      <c r="D398">
        <v>84.202788999999996</v>
      </c>
      <c r="E398">
        <v>85.052834000000004</v>
      </c>
      <c r="F398">
        <v>22.394611000000001</v>
      </c>
      <c r="G398">
        <v>12413623</v>
      </c>
      <c r="O398" s="8" t="str">
        <f t="shared" si="6"/>
        <v>Profit</v>
      </c>
      <c r="P398" s="5" t="str">
        <f>IF(Table2[[#This Row],[Close]]&gt;Table2[[#This Row],[Open]],"profite","loss")</f>
        <v>profite</v>
      </c>
    </row>
    <row r="399" spans="1:16" x14ac:dyDescent="0.3">
      <c r="A399" s="1">
        <v>35923</v>
      </c>
      <c r="B399">
        <v>83.139481000000004</v>
      </c>
      <c r="C399">
        <v>89.518485999999996</v>
      </c>
      <c r="D399">
        <v>83.139481000000004</v>
      </c>
      <c r="E399">
        <v>83.862601999999995</v>
      </c>
      <c r="F399">
        <v>22.081216999999999</v>
      </c>
      <c r="G399">
        <v>10000631</v>
      </c>
      <c r="O399" s="8" t="str">
        <f t="shared" si="6"/>
        <v>Profit</v>
      </c>
      <c r="P399" s="6" t="str">
        <f>IF(Table2[[#This Row],[Close]]&gt;Table2[[#This Row],[Open]],"profite","loss")</f>
        <v>profite</v>
      </c>
    </row>
    <row r="400" spans="1:16" x14ac:dyDescent="0.3">
      <c r="A400" s="1">
        <v>35926</v>
      </c>
      <c r="B400">
        <v>85.521102999999997</v>
      </c>
      <c r="C400">
        <v>86.797004999999999</v>
      </c>
      <c r="D400">
        <v>84.542968999999999</v>
      </c>
      <c r="E400">
        <v>84.840736000000007</v>
      </c>
      <c r="F400">
        <v>22.338764000000001</v>
      </c>
      <c r="G400">
        <v>5472814</v>
      </c>
      <c r="O400" s="8" t="str">
        <f t="shared" si="6"/>
        <v>Loss</v>
      </c>
      <c r="P400" s="5" t="str">
        <f>IF(Table2[[#This Row],[Close]]&gt;Table2[[#This Row],[Open]],"profite","loss")</f>
        <v>loss</v>
      </c>
    </row>
    <row r="401" spans="1:16" x14ac:dyDescent="0.3">
      <c r="A401" s="1">
        <v>35927</v>
      </c>
      <c r="B401">
        <v>84.202788999999996</v>
      </c>
      <c r="C401">
        <v>84.755065999999999</v>
      </c>
      <c r="D401">
        <v>82.288925000000006</v>
      </c>
      <c r="E401">
        <v>82.586617000000004</v>
      </c>
      <c r="F401">
        <v>21.745251</v>
      </c>
      <c r="G401">
        <v>4264515</v>
      </c>
      <c r="O401" s="8" t="str">
        <f t="shared" si="6"/>
        <v>Loss</v>
      </c>
      <c r="P401" s="6" t="str">
        <f>IF(Table2[[#This Row],[Close]]&gt;Table2[[#This Row],[Open]],"profite","loss")</f>
        <v>loss</v>
      </c>
    </row>
    <row r="402" spans="1:16" x14ac:dyDescent="0.3">
      <c r="A402" s="1">
        <v>35928</v>
      </c>
      <c r="B402">
        <v>81.948668999999995</v>
      </c>
      <c r="C402">
        <v>83.139481000000004</v>
      </c>
      <c r="D402">
        <v>80.715423999999999</v>
      </c>
      <c r="E402">
        <v>80.800522000000001</v>
      </c>
      <c r="F402">
        <v>21.27496</v>
      </c>
      <c r="G402">
        <v>6120848</v>
      </c>
      <c r="O402" s="8" t="str">
        <f t="shared" si="6"/>
        <v>Loss</v>
      </c>
      <c r="P402" s="5" t="str">
        <f>IF(Table2[[#This Row],[Close]]&gt;Table2[[#This Row],[Open]],"profite","loss")</f>
        <v>loss</v>
      </c>
    </row>
    <row r="403" spans="1:16" x14ac:dyDescent="0.3">
      <c r="A403" s="1">
        <v>35929</v>
      </c>
      <c r="B403">
        <v>82.501518000000004</v>
      </c>
      <c r="C403">
        <v>83.182236000000003</v>
      </c>
      <c r="D403">
        <v>81.162002999999999</v>
      </c>
      <c r="E403">
        <v>81.969954999999999</v>
      </c>
      <c r="F403">
        <v>21.582882000000001</v>
      </c>
      <c r="G403">
        <v>5231155</v>
      </c>
      <c r="O403" s="8" t="str">
        <f t="shared" si="6"/>
        <v>Loss</v>
      </c>
      <c r="P403" s="6" t="str">
        <f>IF(Table2[[#This Row],[Close]]&gt;Table2[[#This Row],[Open]],"profite","loss")</f>
        <v>loss</v>
      </c>
    </row>
    <row r="404" spans="1:16" x14ac:dyDescent="0.3">
      <c r="A404" s="1">
        <v>35930</v>
      </c>
      <c r="B404">
        <v>81.991257000000004</v>
      </c>
      <c r="C404">
        <v>82.182631999999998</v>
      </c>
      <c r="D404">
        <v>81.013114999999999</v>
      </c>
      <c r="E404">
        <v>81.438384999999997</v>
      </c>
      <c r="F404">
        <v>21.442919</v>
      </c>
      <c r="G404">
        <v>3409688</v>
      </c>
      <c r="O404" s="8" t="str">
        <f t="shared" si="6"/>
        <v>Loss</v>
      </c>
      <c r="P404" s="5" t="str">
        <f>IF(Table2[[#This Row],[Close]]&gt;Table2[[#This Row],[Open]],"profite","loss")</f>
        <v>loss</v>
      </c>
    </row>
    <row r="405" spans="1:16" x14ac:dyDescent="0.3">
      <c r="A405" s="1">
        <v>35933</v>
      </c>
      <c r="B405">
        <v>81.650986000000003</v>
      </c>
      <c r="C405">
        <v>81.778571999999997</v>
      </c>
      <c r="D405">
        <v>79.737296999999998</v>
      </c>
      <c r="E405">
        <v>79.864883000000006</v>
      </c>
      <c r="F405">
        <v>21.028606</v>
      </c>
      <c r="G405">
        <v>3487837</v>
      </c>
      <c r="O405" s="8" t="str">
        <f t="shared" si="6"/>
        <v>Loss</v>
      </c>
      <c r="P405" s="6" t="str">
        <f>IF(Table2[[#This Row],[Close]]&gt;Table2[[#This Row],[Open]],"profite","loss")</f>
        <v>loss</v>
      </c>
    </row>
    <row r="406" spans="1:16" x14ac:dyDescent="0.3">
      <c r="A406" s="1">
        <v>35934</v>
      </c>
      <c r="B406">
        <v>80.077560000000005</v>
      </c>
      <c r="C406">
        <v>81.927452000000002</v>
      </c>
      <c r="D406">
        <v>80.077560000000005</v>
      </c>
      <c r="E406">
        <v>81.650986000000003</v>
      </c>
      <c r="F406">
        <v>21.498895999999998</v>
      </c>
      <c r="G406">
        <v>4572301</v>
      </c>
      <c r="O406" s="8" t="str">
        <f t="shared" si="6"/>
        <v>Profit</v>
      </c>
      <c r="P406" s="5" t="str">
        <f>IF(Table2[[#This Row],[Close]]&gt;Table2[[#This Row],[Open]],"profite","loss")</f>
        <v>profite</v>
      </c>
    </row>
    <row r="407" spans="1:16" x14ac:dyDescent="0.3">
      <c r="A407" s="1">
        <v>35935</v>
      </c>
      <c r="B407">
        <v>81.650986000000003</v>
      </c>
      <c r="C407">
        <v>84.138740999999996</v>
      </c>
      <c r="D407">
        <v>81.353294000000005</v>
      </c>
      <c r="E407">
        <v>82.586617000000004</v>
      </c>
      <c r="F407">
        <v>21.745251</v>
      </c>
      <c r="G407">
        <v>5980180</v>
      </c>
      <c r="O407" s="8" t="str">
        <f t="shared" si="6"/>
        <v>Profit</v>
      </c>
      <c r="P407" s="6" t="str">
        <f>IF(Table2[[#This Row],[Close]]&gt;Table2[[#This Row],[Open]],"profite","loss")</f>
        <v>profite</v>
      </c>
    </row>
    <row r="408" spans="1:16" x14ac:dyDescent="0.3">
      <c r="A408" s="1">
        <v>35936</v>
      </c>
      <c r="B408">
        <v>82.586617000000004</v>
      </c>
      <c r="C408">
        <v>82.586617000000004</v>
      </c>
      <c r="D408">
        <v>82.586617000000004</v>
      </c>
      <c r="E408">
        <v>82.586617000000004</v>
      </c>
      <c r="F408">
        <v>21.745251</v>
      </c>
      <c r="G408">
        <v>0</v>
      </c>
      <c r="O408" s="8" t="str">
        <f t="shared" si="6"/>
        <v>No Change</v>
      </c>
      <c r="P408" s="5" t="str">
        <f>IF(Table2[[#This Row],[Close]]&gt;Table2[[#This Row],[Open]],"profite","loss")</f>
        <v>loss</v>
      </c>
    </row>
    <row r="409" spans="1:16" x14ac:dyDescent="0.3">
      <c r="A409" s="1">
        <v>35937</v>
      </c>
      <c r="B409">
        <v>82.714195000000004</v>
      </c>
      <c r="C409">
        <v>83.331115999999994</v>
      </c>
      <c r="D409">
        <v>81.650986000000003</v>
      </c>
      <c r="E409">
        <v>81.821151999999998</v>
      </c>
      <c r="F409">
        <v>21.543700999999999</v>
      </c>
      <c r="G409">
        <v>4737014</v>
      </c>
      <c r="O409" s="8" t="str">
        <f t="shared" si="6"/>
        <v>Loss</v>
      </c>
      <c r="P409" s="6" t="str">
        <f>IF(Table2[[#This Row],[Close]]&gt;Table2[[#This Row],[Open]],"profite","loss")</f>
        <v>loss</v>
      </c>
    </row>
    <row r="410" spans="1:16" x14ac:dyDescent="0.3">
      <c r="A410" s="1">
        <v>35940</v>
      </c>
      <c r="B410">
        <v>82.076248000000007</v>
      </c>
      <c r="C410">
        <v>84.330048000000005</v>
      </c>
      <c r="D410">
        <v>81.863654999999994</v>
      </c>
      <c r="E410">
        <v>84.03228</v>
      </c>
      <c r="F410">
        <v>22.125893000000001</v>
      </c>
      <c r="G410">
        <v>4194782</v>
      </c>
      <c r="O410" s="8" t="str">
        <f t="shared" si="6"/>
        <v>Profit</v>
      </c>
      <c r="P410" s="5" t="str">
        <f>IF(Table2[[#This Row],[Close]]&gt;Table2[[#This Row],[Open]],"profite","loss")</f>
        <v>profite</v>
      </c>
    </row>
    <row r="411" spans="1:16" x14ac:dyDescent="0.3">
      <c r="A411" s="1">
        <v>35941</v>
      </c>
      <c r="B411">
        <v>84.627808000000002</v>
      </c>
      <c r="C411">
        <v>85.861289999999997</v>
      </c>
      <c r="D411">
        <v>84.202788999999996</v>
      </c>
      <c r="E411">
        <v>84.414878999999999</v>
      </c>
      <c r="F411">
        <v>22.226635000000002</v>
      </c>
      <c r="G411">
        <v>7348384</v>
      </c>
      <c r="O411" s="8" t="str">
        <f t="shared" si="6"/>
        <v>Loss</v>
      </c>
      <c r="P411" s="6" t="str">
        <f>IF(Table2[[#This Row],[Close]]&gt;Table2[[#This Row],[Open]],"profite","loss")</f>
        <v>loss</v>
      </c>
    </row>
    <row r="412" spans="1:16" x14ac:dyDescent="0.3">
      <c r="A412" s="1">
        <v>35942</v>
      </c>
      <c r="B412">
        <v>83.351906</v>
      </c>
      <c r="C412">
        <v>84.458129999999997</v>
      </c>
      <c r="D412">
        <v>82.926795999999996</v>
      </c>
      <c r="E412">
        <v>82.926795999999996</v>
      </c>
      <c r="F412">
        <v>21.834824000000001</v>
      </c>
      <c r="G412">
        <v>8549469</v>
      </c>
      <c r="O412" s="8" t="str">
        <f t="shared" si="6"/>
        <v>Loss</v>
      </c>
      <c r="P412" s="5" t="str">
        <f>IF(Table2[[#This Row],[Close]]&gt;Table2[[#This Row],[Open]],"profite","loss")</f>
        <v>loss</v>
      </c>
    </row>
    <row r="413" spans="1:16" x14ac:dyDescent="0.3">
      <c r="A413" s="1">
        <v>35943</v>
      </c>
      <c r="B413">
        <v>74.421509</v>
      </c>
      <c r="C413">
        <v>79.482201000000003</v>
      </c>
      <c r="D413">
        <v>74.421509</v>
      </c>
      <c r="E413">
        <v>75.442154000000002</v>
      </c>
      <c r="F413">
        <v>19.864090000000001</v>
      </c>
      <c r="G413">
        <v>17710904</v>
      </c>
      <c r="O413" s="8" t="str">
        <f t="shared" si="6"/>
        <v>Profit</v>
      </c>
      <c r="P413" s="6" t="str">
        <f>IF(Table2[[#This Row],[Close]]&gt;Table2[[#This Row],[Open]],"profite","loss")</f>
        <v>profite</v>
      </c>
    </row>
    <row r="414" spans="1:16" x14ac:dyDescent="0.3">
      <c r="A414" s="1">
        <v>35944</v>
      </c>
      <c r="B414">
        <v>76.207603000000006</v>
      </c>
      <c r="C414">
        <v>77.398337999999995</v>
      </c>
      <c r="D414">
        <v>75.633529999999993</v>
      </c>
      <c r="E414">
        <v>75.633529999999993</v>
      </c>
      <c r="F414">
        <v>19.914486</v>
      </c>
      <c r="G414">
        <v>6063138</v>
      </c>
      <c r="O414" s="8" t="str">
        <f t="shared" si="6"/>
        <v>Loss</v>
      </c>
      <c r="P414" s="5" t="str">
        <f>IF(Table2[[#This Row],[Close]]&gt;Table2[[#This Row],[Open]],"profite","loss")</f>
        <v>loss</v>
      </c>
    </row>
    <row r="415" spans="1:16" x14ac:dyDescent="0.3">
      <c r="A415" s="1">
        <v>35947</v>
      </c>
      <c r="B415">
        <v>75.633529999999993</v>
      </c>
      <c r="C415">
        <v>75.633529999999993</v>
      </c>
      <c r="D415">
        <v>75.633529999999993</v>
      </c>
      <c r="E415">
        <v>75.633529999999993</v>
      </c>
      <c r="F415">
        <v>19.914486</v>
      </c>
      <c r="G415">
        <v>0</v>
      </c>
      <c r="O415" s="8" t="str">
        <f t="shared" si="6"/>
        <v>No Change</v>
      </c>
      <c r="P415" s="6" t="str">
        <f>IF(Table2[[#This Row],[Close]]&gt;Table2[[#This Row],[Open]],"profite","loss")</f>
        <v>loss</v>
      </c>
    </row>
    <row r="416" spans="1:16" x14ac:dyDescent="0.3">
      <c r="A416" s="1">
        <v>35948</v>
      </c>
      <c r="B416">
        <v>75.186974000000006</v>
      </c>
      <c r="C416">
        <v>75.995009999999994</v>
      </c>
      <c r="D416">
        <v>74.931792999999999</v>
      </c>
      <c r="E416">
        <v>75.059380000000004</v>
      </c>
      <c r="F416">
        <v>19.763307999999999</v>
      </c>
      <c r="G416">
        <v>2473106</v>
      </c>
      <c r="O416" s="8" t="str">
        <f t="shared" si="6"/>
        <v>Loss</v>
      </c>
      <c r="P416" s="5" t="str">
        <f>IF(Table2[[#This Row],[Close]]&gt;Table2[[#This Row],[Open]],"profite","loss")</f>
        <v>loss</v>
      </c>
    </row>
    <row r="417" spans="1:16" x14ac:dyDescent="0.3">
      <c r="A417" s="1">
        <v>35949</v>
      </c>
      <c r="B417">
        <v>75.272064</v>
      </c>
      <c r="C417">
        <v>76.739182</v>
      </c>
      <c r="D417">
        <v>74.889281999999994</v>
      </c>
      <c r="E417">
        <v>75.846137999999996</v>
      </c>
      <c r="F417">
        <v>19.970462999999999</v>
      </c>
      <c r="G417">
        <v>3921863</v>
      </c>
      <c r="O417" s="8" t="str">
        <f t="shared" si="6"/>
        <v>Profit</v>
      </c>
      <c r="P417" s="6" t="str">
        <f>IF(Table2[[#This Row],[Close]]&gt;Table2[[#This Row],[Open]],"profite","loss")</f>
        <v>profite</v>
      </c>
    </row>
    <row r="418" spans="1:16" x14ac:dyDescent="0.3">
      <c r="A418" s="1">
        <v>35950</v>
      </c>
      <c r="B418">
        <v>75.590958000000001</v>
      </c>
      <c r="C418">
        <v>75.824843999999999</v>
      </c>
      <c r="D418">
        <v>74.719200000000001</v>
      </c>
      <c r="E418">
        <v>74.910583000000003</v>
      </c>
      <c r="F418">
        <v>19.724133999999999</v>
      </c>
      <c r="G418">
        <v>2512781</v>
      </c>
      <c r="O418" s="8" t="str">
        <f t="shared" si="6"/>
        <v>Loss</v>
      </c>
      <c r="P418" s="5" t="str">
        <f>IF(Table2[[#This Row],[Close]]&gt;Table2[[#This Row],[Open]],"profite","loss")</f>
        <v>loss</v>
      </c>
    </row>
    <row r="419" spans="1:16" x14ac:dyDescent="0.3">
      <c r="A419" s="1">
        <v>35951</v>
      </c>
      <c r="B419">
        <v>75.697333999999998</v>
      </c>
      <c r="C419">
        <v>76.866776000000002</v>
      </c>
      <c r="D419">
        <v>75.654754999999994</v>
      </c>
      <c r="E419">
        <v>76.760475</v>
      </c>
      <c r="F419">
        <v>20.211207999999999</v>
      </c>
      <c r="G419">
        <v>3100700</v>
      </c>
      <c r="O419" s="8" t="str">
        <f t="shared" si="6"/>
        <v>Profit</v>
      </c>
      <c r="P419" s="6" t="str">
        <f>IF(Table2[[#This Row],[Close]]&gt;Table2[[#This Row],[Open]],"profite","loss")</f>
        <v>profite</v>
      </c>
    </row>
    <row r="420" spans="1:16" x14ac:dyDescent="0.3">
      <c r="A420" s="1">
        <v>35954</v>
      </c>
      <c r="B420">
        <v>77.738608999999997</v>
      </c>
      <c r="C420">
        <v>78.270179999999996</v>
      </c>
      <c r="D420">
        <v>77.185744999999997</v>
      </c>
      <c r="E420">
        <v>77.440926000000005</v>
      </c>
      <c r="F420">
        <v>20.390374999999999</v>
      </c>
      <c r="G420">
        <v>2960634</v>
      </c>
      <c r="O420" s="8" t="str">
        <f t="shared" si="6"/>
        <v>Loss</v>
      </c>
      <c r="P420" s="5" t="str">
        <f>IF(Table2[[#This Row],[Close]]&gt;Table2[[#This Row],[Open]],"profite","loss")</f>
        <v>loss</v>
      </c>
    </row>
    <row r="421" spans="1:16" x14ac:dyDescent="0.3">
      <c r="A421" s="1">
        <v>35955</v>
      </c>
      <c r="B421">
        <v>77.823607999999993</v>
      </c>
      <c r="C421">
        <v>78.036285000000007</v>
      </c>
      <c r="D421">
        <v>76.462783999999999</v>
      </c>
      <c r="E421">
        <v>76.590384999999998</v>
      </c>
      <c r="F421">
        <v>20.166426000000001</v>
      </c>
      <c r="G421">
        <v>2682905</v>
      </c>
      <c r="O421" s="8" t="str">
        <f t="shared" si="6"/>
        <v>Loss</v>
      </c>
      <c r="P421" s="6" t="str">
        <f>IF(Table2[[#This Row],[Close]]&gt;Table2[[#This Row],[Open]],"profite","loss")</f>
        <v>loss</v>
      </c>
    </row>
    <row r="422" spans="1:16" x14ac:dyDescent="0.3">
      <c r="A422" s="1">
        <v>35956</v>
      </c>
      <c r="B422">
        <v>76.505295000000004</v>
      </c>
      <c r="C422">
        <v>77.568427999999997</v>
      </c>
      <c r="D422">
        <v>75.761131000000006</v>
      </c>
      <c r="E422">
        <v>77.079453000000001</v>
      </c>
      <c r="F422">
        <v>20.295197000000002</v>
      </c>
      <c r="G422">
        <v>2518793</v>
      </c>
      <c r="O422" s="8" t="str">
        <f t="shared" si="6"/>
        <v>Profit</v>
      </c>
      <c r="P422" s="5" t="str">
        <f>IF(Table2[[#This Row],[Close]]&gt;Table2[[#This Row],[Open]],"profite","loss")</f>
        <v>profite</v>
      </c>
    </row>
    <row r="423" spans="1:16" x14ac:dyDescent="0.3">
      <c r="A423" s="1">
        <v>35957</v>
      </c>
      <c r="B423">
        <v>77.079453000000001</v>
      </c>
      <c r="C423">
        <v>77.079453000000001</v>
      </c>
      <c r="D423">
        <v>77.079453000000001</v>
      </c>
      <c r="E423">
        <v>77.079453000000001</v>
      </c>
      <c r="F423">
        <v>20.295197000000002</v>
      </c>
      <c r="G423">
        <v>0</v>
      </c>
      <c r="O423" s="8" t="str">
        <f t="shared" si="6"/>
        <v>No Change</v>
      </c>
      <c r="P423" s="6" t="str">
        <f>IF(Table2[[#This Row],[Close]]&gt;Table2[[#This Row],[Open]],"profite","loss")</f>
        <v>loss</v>
      </c>
    </row>
    <row r="424" spans="1:16" x14ac:dyDescent="0.3">
      <c r="A424" s="1">
        <v>35958</v>
      </c>
      <c r="B424">
        <v>74.931792999999999</v>
      </c>
      <c r="C424">
        <v>75.697333999999998</v>
      </c>
      <c r="D424">
        <v>73.230789000000001</v>
      </c>
      <c r="E424">
        <v>73.507178999999994</v>
      </c>
      <c r="F424">
        <v>19.354611999999999</v>
      </c>
      <c r="G424">
        <v>3241969</v>
      </c>
      <c r="O424" s="8" t="str">
        <f t="shared" si="6"/>
        <v>Loss</v>
      </c>
      <c r="P424" s="5" t="str">
        <f>IF(Table2[[#This Row],[Close]]&gt;Table2[[#This Row],[Open]],"profite","loss")</f>
        <v>loss</v>
      </c>
    </row>
    <row r="425" spans="1:16" x14ac:dyDescent="0.3">
      <c r="A425" s="1">
        <v>35961</v>
      </c>
      <c r="B425">
        <v>73.996239000000003</v>
      </c>
      <c r="C425">
        <v>73.996239000000003</v>
      </c>
      <c r="D425">
        <v>72.082565000000002</v>
      </c>
      <c r="E425">
        <v>72.358954999999995</v>
      </c>
      <c r="F425">
        <v>19.05228</v>
      </c>
      <c r="G425">
        <v>2200788</v>
      </c>
      <c r="O425" s="8" t="str">
        <f t="shared" si="6"/>
        <v>Loss</v>
      </c>
      <c r="P425" s="6" t="str">
        <f>IF(Table2[[#This Row],[Close]]&gt;Table2[[#This Row],[Open]],"profite","loss")</f>
        <v>loss</v>
      </c>
    </row>
    <row r="426" spans="1:16" x14ac:dyDescent="0.3">
      <c r="A426" s="1">
        <v>35962</v>
      </c>
      <c r="B426">
        <v>71.444610999999995</v>
      </c>
      <c r="C426">
        <v>72.295158000000001</v>
      </c>
      <c r="D426">
        <v>71.019333000000003</v>
      </c>
      <c r="E426">
        <v>71.444610999999995</v>
      </c>
      <c r="F426">
        <v>18.811533000000001</v>
      </c>
      <c r="G426">
        <v>3887598</v>
      </c>
      <c r="O426" s="8" t="str">
        <f t="shared" si="6"/>
        <v>No Change</v>
      </c>
      <c r="P426" s="5" t="str">
        <f>IF(Table2[[#This Row],[Close]]&gt;Table2[[#This Row],[Open]],"profite","loss")</f>
        <v>loss</v>
      </c>
    </row>
    <row r="427" spans="1:16" x14ac:dyDescent="0.3">
      <c r="A427" s="1">
        <v>35963</v>
      </c>
      <c r="B427">
        <v>72.231361000000007</v>
      </c>
      <c r="C427">
        <v>73.485878</v>
      </c>
      <c r="D427">
        <v>71.997467</v>
      </c>
      <c r="E427">
        <v>72.848006999999996</v>
      </c>
      <c r="F427">
        <v>19.181051</v>
      </c>
      <c r="G427">
        <v>3079059</v>
      </c>
      <c r="O427" s="8" t="str">
        <f t="shared" si="6"/>
        <v>Profit</v>
      </c>
      <c r="P427" s="6" t="str">
        <f>IF(Table2[[#This Row],[Close]]&gt;Table2[[#This Row],[Open]],"profite","loss")</f>
        <v>profite</v>
      </c>
    </row>
    <row r="428" spans="1:16" x14ac:dyDescent="0.3">
      <c r="A428" s="1">
        <v>35964</v>
      </c>
      <c r="B428">
        <v>73.337090000000003</v>
      </c>
      <c r="C428">
        <v>73.889938000000001</v>
      </c>
      <c r="D428">
        <v>70.806740000000005</v>
      </c>
      <c r="E428">
        <v>71.274512999999999</v>
      </c>
      <c r="F428">
        <v>18.766746999999999</v>
      </c>
      <c r="G428">
        <v>3428324</v>
      </c>
      <c r="O428" s="8" t="str">
        <f t="shared" si="6"/>
        <v>Loss</v>
      </c>
      <c r="P428" s="5" t="str">
        <f>IF(Table2[[#This Row],[Close]]&gt;Table2[[#This Row],[Open]],"profite","loss")</f>
        <v>loss</v>
      </c>
    </row>
    <row r="429" spans="1:16" x14ac:dyDescent="0.3">
      <c r="A429" s="1">
        <v>35965</v>
      </c>
      <c r="B429">
        <v>71.614784</v>
      </c>
      <c r="C429">
        <v>71.721085000000002</v>
      </c>
      <c r="D429">
        <v>70.019988999999995</v>
      </c>
      <c r="E429">
        <v>70.296386999999996</v>
      </c>
      <c r="F429">
        <v>18.509205000000001</v>
      </c>
      <c r="G429">
        <v>3707255</v>
      </c>
      <c r="O429" s="8" t="str">
        <f t="shared" si="6"/>
        <v>Loss</v>
      </c>
      <c r="P429" s="6" t="str">
        <f>IF(Table2[[#This Row],[Close]]&gt;Table2[[#This Row],[Open]],"profite","loss")</f>
        <v>loss</v>
      </c>
    </row>
    <row r="430" spans="1:16" x14ac:dyDescent="0.3">
      <c r="A430" s="1">
        <v>35968</v>
      </c>
      <c r="B430">
        <v>70.147582999999997</v>
      </c>
      <c r="C430">
        <v>70.934334000000007</v>
      </c>
      <c r="D430">
        <v>69.275825999999995</v>
      </c>
      <c r="E430">
        <v>70.062492000000006</v>
      </c>
      <c r="F430">
        <v>18.447617000000001</v>
      </c>
      <c r="G430">
        <v>2637819</v>
      </c>
      <c r="O430" s="8" t="str">
        <f t="shared" si="6"/>
        <v>Loss</v>
      </c>
      <c r="P430" s="5" t="str">
        <f>IF(Table2[[#This Row],[Close]]&gt;Table2[[#This Row],[Open]],"profite","loss")</f>
        <v>loss</v>
      </c>
    </row>
    <row r="431" spans="1:16" x14ac:dyDescent="0.3">
      <c r="A431" s="1">
        <v>35969</v>
      </c>
      <c r="B431">
        <v>70.381461999999999</v>
      </c>
      <c r="C431">
        <v>71.444610999999995</v>
      </c>
      <c r="D431">
        <v>69.743599000000003</v>
      </c>
      <c r="E431">
        <v>70.636641999999995</v>
      </c>
      <c r="F431">
        <v>18.598793000000001</v>
      </c>
      <c r="G431">
        <v>5981382</v>
      </c>
      <c r="O431" s="8" t="str">
        <f t="shared" si="6"/>
        <v>Profit</v>
      </c>
      <c r="P431" s="6" t="str">
        <f>IF(Table2[[#This Row],[Close]]&gt;Table2[[#This Row],[Open]],"profite","loss")</f>
        <v>profite</v>
      </c>
    </row>
    <row r="432" spans="1:16" x14ac:dyDescent="0.3">
      <c r="A432" s="1">
        <v>35970</v>
      </c>
      <c r="B432">
        <v>71.444610999999995</v>
      </c>
      <c r="C432">
        <v>73.251998999999998</v>
      </c>
      <c r="D432">
        <v>71.232017999999997</v>
      </c>
      <c r="E432">
        <v>72.954307999999997</v>
      </c>
      <c r="F432">
        <v>19.209040000000002</v>
      </c>
      <c r="G432">
        <v>4821776</v>
      </c>
      <c r="O432" s="8" t="str">
        <f t="shared" si="6"/>
        <v>Profit</v>
      </c>
      <c r="P432" s="5" t="str">
        <f>IF(Table2[[#This Row],[Close]]&gt;Table2[[#This Row],[Open]],"profite","loss")</f>
        <v>profite</v>
      </c>
    </row>
    <row r="433" spans="1:16" x14ac:dyDescent="0.3">
      <c r="A433" s="1">
        <v>35971</v>
      </c>
      <c r="B433">
        <v>74.038749999999993</v>
      </c>
      <c r="C433">
        <v>76.377707999999998</v>
      </c>
      <c r="D433">
        <v>74.038749999999993</v>
      </c>
      <c r="E433">
        <v>75.357062999999997</v>
      </c>
      <c r="F433">
        <v>19.841691999999998</v>
      </c>
      <c r="G433">
        <v>4771881</v>
      </c>
      <c r="O433" s="8" t="str">
        <f t="shared" si="6"/>
        <v>Profit</v>
      </c>
      <c r="P433" s="6" t="str">
        <f>IF(Table2[[#This Row],[Close]]&gt;Table2[[#This Row],[Open]],"profite","loss")</f>
        <v>profite</v>
      </c>
    </row>
    <row r="434" spans="1:16" x14ac:dyDescent="0.3">
      <c r="A434" s="1">
        <v>35972</v>
      </c>
      <c r="B434">
        <v>74.974379999999996</v>
      </c>
      <c r="C434">
        <v>76.122528000000003</v>
      </c>
      <c r="D434">
        <v>74.506523000000001</v>
      </c>
      <c r="E434">
        <v>74.846785999999994</v>
      </c>
      <c r="F434">
        <v>19.707335</v>
      </c>
      <c r="G434">
        <v>2590329</v>
      </c>
      <c r="O434" s="8" t="str">
        <f t="shared" si="6"/>
        <v>Loss</v>
      </c>
      <c r="P434" s="5" t="str">
        <f>IF(Table2[[#This Row],[Close]]&gt;Table2[[#This Row],[Open]],"profite","loss")</f>
        <v>loss</v>
      </c>
    </row>
    <row r="435" spans="1:16" x14ac:dyDescent="0.3">
      <c r="A435" s="1">
        <v>35975</v>
      </c>
      <c r="B435">
        <v>75.654754999999994</v>
      </c>
      <c r="C435">
        <v>76.654182000000006</v>
      </c>
      <c r="D435">
        <v>75.569739999999996</v>
      </c>
      <c r="E435">
        <v>75.718543999999994</v>
      </c>
      <c r="F435">
        <v>19.936869000000002</v>
      </c>
      <c r="G435">
        <v>2450864</v>
      </c>
      <c r="O435" s="8" t="str">
        <f t="shared" si="6"/>
        <v>Profit</v>
      </c>
      <c r="P435" s="6" t="str">
        <f>IF(Table2[[#This Row],[Close]]&gt;Table2[[#This Row],[Open]],"profite","loss")</f>
        <v>profite</v>
      </c>
    </row>
    <row r="436" spans="1:16" x14ac:dyDescent="0.3">
      <c r="A436" s="1">
        <v>35976</v>
      </c>
      <c r="B436">
        <v>76.122528000000003</v>
      </c>
      <c r="C436">
        <v>76.186317000000003</v>
      </c>
      <c r="D436">
        <v>74.634101999999999</v>
      </c>
      <c r="E436">
        <v>74.634101999999999</v>
      </c>
      <c r="F436">
        <v>19.651330999999999</v>
      </c>
      <c r="G436">
        <v>2263908</v>
      </c>
      <c r="O436" s="8" t="str">
        <f t="shared" si="6"/>
        <v>Loss</v>
      </c>
      <c r="P436" s="5" t="str">
        <f>IF(Table2[[#This Row],[Close]]&gt;Table2[[#This Row],[Open]],"profite","loss")</f>
        <v>loss</v>
      </c>
    </row>
    <row r="437" spans="1:16" x14ac:dyDescent="0.3">
      <c r="A437" s="1">
        <v>35977</v>
      </c>
      <c r="B437">
        <v>75.059380000000004</v>
      </c>
      <c r="C437">
        <v>75.952431000000004</v>
      </c>
      <c r="D437">
        <v>74.634101999999999</v>
      </c>
      <c r="E437">
        <v>75.378365000000002</v>
      </c>
      <c r="F437">
        <v>19.847300000000001</v>
      </c>
      <c r="G437">
        <v>2167124</v>
      </c>
      <c r="O437" s="8" t="str">
        <f t="shared" si="6"/>
        <v>Profit</v>
      </c>
      <c r="P437" s="6" t="str">
        <f>IF(Table2[[#This Row],[Close]]&gt;Table2[[#This Row],[Open]],"profite","loss")</f>
        <v>profite</v>
      </c>
    </row>
    <row r="438" spans="1:16" x14ac:dyDescent="0.3">
      <c r="A438" s="1">
        <v>35978</v>
      </c>
      <c r="B438">
        <v>76.207603000000006</v>
      </c>
      <c r="C438">
        <v>77.249534999999995</v>
      </c>
      <c r="D438">
        <v>75.952431000000004</v>
      </c>
      <c r="E438">
        <v>75.952431000000004</v>
      </c>
      <c r="F438">
        <v>19.998453000000001</v>
      </c>
      <c r="G438">
        <v>3072446</v>
      </c>
      <c r="O438" s="8" t="str">
        <f t="shared" si="6"/>
        <v>Loss</v>
      </c>
      <c r="P438" s="5" t="str">
        <f>IF(Table2[[#This Row],[Close]]&gt;Table2[[#This Row],[Open]],"profite","loss")</f>
        <v>loss</v>
      </c>
    </row>
    <row r="439" spans="1:16" x14ac:dyDescent="0.3">
      <c r="A439" s="1">
        <v>35979</v>
      </c>
      <c r="B439">
        <v>76.250107</v>
      </c>
      <c r="C439">
        <v>77.802406000000005</v>
      </c>
      <c r="D439">
        <v>76.228904999999997</v>
      </c>
      <c r="E439">
        <v>77.802406000000005</v>
      </c>
      <c r="F439">
        <v>20.485558000000001</v>
      </c>
      <c r="G439">
        <v>1585216</v>
      </c>
      <c r="O439" s="8" t="str">
        <f t="shared" si="6"/>
        <v>Profit</v>
      </c>
      <c r="P439" s="6" t="str">
        <f>IF(Table2[[#This Row],[Close]]&gt;Table2[[#This Row],[Open]],"profite","loss")</f>
        <v>profite</v>
      </c>
    </row>
    <row r="440" spans="1:16" x14ac:dyDescent="0.3">
      <c r="A440" s="1">
        <v>35982</v>
      </c>
      <c r="B440">
        <v>77.802406000000005</v>
      </c>
      <c r="C440">
        <v>78.036285000000007</v>
      </c>
      <c r="D440">
        <v>76.632889000000006</v>
      </c>
      <c r="E440">
        <v>76.802978999999993</v>
      </c>
      <c r="F440">
        <v>20.222404000000001</v>
      </c>
      <c r="G440">
        <v>1746323</v>
      </c>
      <c r="O440" s="8" t="str">
        <f t="shared" si="6"/>
        <v>Loss</v>
      </c>
      <c r="P440" s="5" t="str">
        <f>IF(Table2[[#This Row],[Close]]&gt;Table2[[#This Row],[Open]],"profite","loss")</f>
        <v>loss</v>
      </c>
    </row>
    <row r="441" spans="1:16" x14ac:dyDescent="0.3">
      <c r="A441" s="1">
        <v>35983</v>
      </c>
      <c r="B441">
        <v>77.292038000000005</v>
      </c>
      <c r="C441">
        <v>77.525931999999997</v>
      </c>
      <c r="D441">
        <v>76.335205000000002</v>
      </c>
      <c r="E441">
        <v>76.802978999999993</v>
      </c>
      <c r="F441">
        <v>20.222404000000001</v>
      </c>
      <c r="G441">
        <v>1853928</v>
      </c>
      <c r="O441" s="8" t="str">
        <f t="shared" si="6"/>
        <v>Loss</v>
      </c>
      <c r="P441" s="6" t="str">
        <f>IF(Table2[[#This Row],[Close]]&gt;Table2[[#This Row],[Open]],"profite","loss")</f>
        <v>loss</v>
      </c>
    </row>
    <row r="442" spans="1:16" x14ac:dyDescent="0.3">
      <c r="A442" s="1">
        <v>35984</v>
      </c>
      <c r="B442">
        <v>76.845482000000004</v>
      </c>
      <c r="C442">
        <v>77.504722999999998</v>
      </c>
      <c r="D442">
        <v>75.909926999999996</v>
      </c>
      <c r="E442">
        <v>77.398337999999995</v>
      </c>
      <c r="F442">
        <v>20.379158</v>
      </c>
      <c r="G442">
        <v>2019242</v>
      </c>
      <c r="O442" s="8" t="str">
        <f t="shared" si="6"/>
        <v>Profit</v>
      </c>
      <c r="P442" s="5" t="str">
        <f>IF(Table2[[#This Row],[Close]]&gt;Table2[[#This Row],[Open]],"profite","loss")</f>
        <v>profite</v>
      </c>
    </row>
    <row r="443" spans="1:16" x14ac:dyDescent="0.3">
      <c r="A443" s="1">
        <v>35985</v>
      </c>
      <c r="B443">
        <v>78.248878000000005</v>
      </c>
      <c r="C443">
        <v>78.674149</v>
      </c>
      <c r="D443">
        <v>77.525931999999997</v>
      </c>
      <c r="E443">
        <v>77.823607999999993</v>
      </c>
      <c r="F443">
        <v>20.491136999999998</v>
      </c>
      <c r="G443">
        <v>1928469</v>
      </c>
      <c r="O443" s="8" t="str">
        <f t="shared" si="6"/>
        <v>Loss</v>
      </c>
      <c r="P443" s="6" t="str">
        <f>IF(Table2[[#This Row],[Close]]&gt;Table2[[#This Row],[Open]],"profite","loss")</f>
        <v>loss</v>
      </c>
    </row>
    <row r="444" spans="1:16" x14ac:dyDescent="0.3">
      <c r="A444" s="1">
        <v>35986</v>
      </c>
      <c r="B444">
        <v>77.483429000000001</v>
      </c>
      <c r="C444">
        <v>77.696029999999993</v>
      </c>
      <c r="D444">
        <v>75.782332999999994</v>
      </c>
      <c r="E444">
        <v>75.867431999999994</v>
      </c>
      <c r="F444">
        <v>19.976071999999998</v>
      </c>
      <c r="G444">
        <v>1871361</v>
      </c>
      <c r="O444" s="8" t="str">
        <f t="shared" si="6"/>
        <v>Loss</v>
      </c>
      <c r="P444" s="5" t="str">
        <f>IF(Table2[[#This Row],[Close]]&gt;Table2[[#This Row],[Open]],"profite","loss")</f>
        <v>loss</v>
      </c>
    </row>
    <row r="445" spans="1:16" x14ac:dyDescent="0.3">
      <c r="A445" s="1">
        <v>35989</v>
      </c>
      <c r="B445">
        <v>75.144463000000002</v>
      </c>
      <c r="C445">
        <v>75.676033000000004</v>
      </c>
      <c r="D445">
        <v>74.506523000000001</v>
      </c>
      <c r="E445">
        <v>74.506523000000001</v>
      </c>
      <c r="F445">
        <v>19.617743999999998</v>
      </c>
      <c r="G445">
        <v>2848220</v>
      </c>
      <c r="O445" s="8" t="str">
        <f t="shared" si="6"/>
        <v>Loss</v>
      </c>
      <c r="P445" s="6" t="str">
        <f>IF(Table2[[#This Row],[Close]]&gt;Table2[[#This Row],[Open]],"profite","loss")</f>
        <v>loss</v>
      </c>
    </row>
    <row r="446" spans="1:16" x14ac:dyDescent="0.3">
      <c r="A446" s="1">
        <v>35990</v>
      </c>
      <c r="B446">
        <v>74.336433</v>
      </c>
      <c r="C446">
        <v>75.335860999999994</v>
      </c>
      <c r="D446">
        <v>73.783562000000003</v>
      </c>
      <c r="E446">
        <v>74.931792999999999</v>
      </c>
      <c r="F446">
        <v>19.729714999999999</v>
      </c>
      <c r="G446">
        <v>2994899</v>
      </c>
      <c r="O446" s="8" t="str">
        <f t="shared" si="6"/>
        <v>Profit</v>
      </c>
      <c r="P446" s="5" t="str">
        <f>IF(Table2[[#This Row],[Close]]&gt;Table2[[#This Row],[Open]],"profite","loss")</f>
        <v>profite</v>
      </c>
    </row>
    <row r="447" spans="1:16" x14ac:dyDescent="0.3">
      <c r="A447" s="1">
        <v>35991</v>
      </c>
      <c r="B447">
        <v>76.016227999999998</v>
      </c>
      <c r="C447">
        <v>76.973067999999998</v>
      </c>
      <c r="D447">
        <v>74.421509</v>
      </c>
      <c r="E447">
        <v>74.421509</v>
      </c>
      <c r="F447">
        <v>19.595355999999999</v>
      </c>
      <c r="G447">
        <v>4317416</v>
      </c>
      <c r="O447" s="8" t="str">
        <f t="shared" si="6"/>
        <v>Loss</v>
      </c>
      <c r="P447" s="6" t="str">
        <f>IF(Table2[[#This Row],[Close]]&gt;Table2[[#This Row],[Open]],"profite","loss")</f>
        <v>loss</v>
      </c>
    </row>
    <row r="448" spans="1:16" x14ac:dyDescent="0.3">
      <c r="A448" s="1">
        <v>35992</v>
      </c>
      <c r="B448">
        <v>74.506523000000001</v>
      </c>
      <c r="C448">
        <v>75.059380000000004</v>
      </c>
      <c r="D448">
        <v>73.613479999999996</v>
      </c>
      <c r="E448">
        <v>73.953734999999995</v>
      </c>
      <c r="F448">
        <v>19.472194999999999</v>
      </c>
      <c r="G448">
        <v>3002714</v>
      </c>
      <c r="O448" s="8" t="str">
        <f t="shared" si="6"/>
        <v>Loss</v>
      </c>
      <c r="P448" s="5" t="str">
        <f>IF(Table2[[#This Row],[Close]]&gt;Table2[[#This Row],[Open]],"profite","loss")</f>
        <v>loss</v>
      </c>
    </row>
    <row r="449" spans="1:16" x14ac:dyDescent="0.3">
      <c r="A449" s="1">
        <v>35993</v>
      </c>
      <c r="B449">
        <v>74.293930000000003</v>
      </c>
      <c r="C449">
        <v>74.995582999999996</v>
      </c>
      <c r="D449">
        <v>73.719855999999993</v>
      </c>
      <c r="E449">
        <v>74.123840000000001</v>
      </c>
      <c r="F449">
        <v>19.516978999999999</v>
      </c>
      <c r="G449">
        <v>2850624</v>
      </c>
      <c r="O449" s="8" t="str">
        <f t="shared" si="6"/>
        <v>Loss</v>
      </c>
      <c r="P449" s="6" t="str">
        <f>IF(Table2[[#This Row],[Close]]&gt;Table2[[#This Row],[Open]],"profite","loss")</f>
        <v>loss</v>
      </c>
    </row>
    <row r="450" spans="1:16" x14ac:dyDescent="0.3">
      <c r="A450" s="1">
        <v>35996</v>
      </c>
      <c r="B450">
        <v>73.826156999999995</v>
      </c>
      <c r="C450">
        <v>74.315216000000007</v>
      </c>
      <c r="D450">
        <v>72.933104999999998</v>
      </c>
      <c r="E450">
        <v>72.933104999999998</v>
      </c>
      <c r="F450">
        <v>19.203458999999999</v>
      </c>
      <c r="G450">
        <v>2869260</v>
      </c>
      <c r="O450" s="8" t="str">
        <f t="shared" si="6"/>
        <v>Loss</v>
      </c>
      <c r="P450" s="5" t="str">
        <f>IF(Table2[[#This Row],[Close]]&gt;Table2[[#This Row],[Open]],"profite","loss")</f>
        <v>loss</v>
      </c>
    </row>
    <row r="451" spans="1:16" x14ac:dyDescent="0.3">
      <c r="A451" s="1">
        <v>35997</v>
      </c>
      <c r="B451">
        <v>73.251998999999998</v>
      </c>
      <c r="C451">
        <v>74.102538999999993</v>
      </c>
      <c r="D451">
        <v>73.018112000000002</v>
      </c>
      <c r="E451">
        <v>73.251998999999998</v>
      </c>
      <c r="F451">
        <v>19.287424000000001</v>
      </c>
      <c r="G451">
        <v>3669382</v>
      </c>
      <c r="O451" s="8" t="str">
        <f t="shared" ref="O451:O514" si="7">IF(E451&gt;B451,"Profit",IF(E451&lt;B451,"Loss","No Change"))</f>
        <v>No Change</v>
      </c>
      <c r="P451" s="6" t="str">
        <f>IF(Table2[[#This Row],[Close]]&gt;Table2[[#This Row],[Open]],"profite","loss")</f>
        <v>loss</v>
      </c>
    </row>
    <row r="452" spans="1:16" x14ac:dyDescent="0.3">
      <c r="A452" s="1">
        <v>35998</v>
      </c>
      <c r="B452">
        <v>73.400879000000003</v>
      </c>
      <c r="C452">
        <v>75.761131000000006</v>
      </c>
      <c r="D452">
        <v>73.400879000000003</v>
      </c>
      <c r="E452">
        <v>74.953079000000002</v>
      </c>
      <c r="F452">
        <v>19.735315</v>
      </c>
      <c r="G452">
        <v>5334551</v>
      </c>
      <c r="O452" s="8" t="str">
        <f t="shared" si="7"/>
        <v>Profit</v>
      </c>
      <c r="P452" s="5" t="str">
        <f>IF(Table2[[#This Row],[Close]]&gt;Table2[[#This Row],[Open]],"profite","loss")</f>
        <v>profite</v>
      </c>
    </row>
    <row r="453" spans="1:16" x14ac:dyDescent="0.3">
      <c r="A453" s="1">
        <v>35999</v>
      </c>
      <c r="B453">
        <v>76.547798</v>
      </c>
      <c r="C453">
        <v>78.652869999999993</v>
      </c>
      <c r="D453">
        <v>76.080025000000006</v>
      </c>
      <c r="E453">
        <v>77.781104999999997</v>
      </c>
      <c r="F453">
        <v>20.479946000000002</v>
      </c>
      <c r="G453">
        <v>6611982</v>
      </c>
      <c r="O453" s="8" t="str">
        <f t="shared" si="7"/>
        <v>Profit</v>
      </c>
      <c r="P453" s="6" t="str">
        <f>IF(Table2[[#This Row],[Close]]&gt;Table2[[#This Row],[Open]],"profite","loss")</f>
        <v>profite</v>
      </c>
    </row>
    <row r="454" spans="1:16" x14ac:dyDescent="0.3">
      <c r="A454" s="1">
        <v>36000</v>
      </c>
      <c r="B454">
        <v>77.270752000000002</v>
      </c>
      <c r="C454">
        <v>80.311454999999995</v>
      </c>
      <c r="D454">
        <v>77.079453000000001</v>
      </c>
      <c r="E454">
        <v>78.376480000000001</v>
      </c>
      <c r="F454">
        <v>20.636714999999999</v>
      </c>
      <c r="G454">
        <v>5855743</v>
      </c>
      <c r="O454" s="8" t="str">
        <f t="shared" si="7"/>
        <v>Profit</v>
      </c>
      <c r="P454" s="5" t="str">
        <f>IF(Table2[[#This Row],[Close]]&gt;Table2[[#This Row],[Open]],"profite","loss")</f>
        <v>profite</v>
      </c>
    </row>
    <row r="455" spans="1:16" x14ac:dyDescent="0.3">
      <c r="A455" s="1">
        <v>36003</v>
      </c>
      <c r="B455">
        <v>79.099434000000002</v>
      </c>
      <c r="C455">
        <v>80.268867</v>
      </c>
      <c r="D455">
        <v>76.717963999999995</v>
      </c>
      <c r="E455">
        <v>76.760475</v>
      </c>
      <c r="F455">
        <v>20.211207999999999</v>
      </c>
      <c r="G455">
        <v>3398267</v>
      </c>
      <c r="O455" s="8" t="str">
        <f t="shared" si="7"/>
        <v>Loss</v>
      </c>
      <c r="P455" s="6" t="str">
        <f>IF(Table2[[#This Row],[Close]]&gt;Table2[[#This Row],[Open]],"profite","loss")</f>
        <v>loss</v>
      </c>
    </row>
    <row r="456" spans="1:16" x14ac:dyDescent="0.3">
      <c r="A456" s="1">
        <v>36004</v>
      </c>
      <c r="B456">
        <v>78.036285000000007</v>
      </c>
      <c r="C456">
        <v>78.376480000000001</v>
      </c>
      <c r="D456">
        <v>76.547798</v>
      </c>
      <c r="E456">
        <v>77.270752000000002</v>
      </c>
      <c r="F456">
        <v>20.345568</v>
      </c>
      <c r="G456">
        <v>2777886</v>
      </c>
      <c r="O456" s="8" t="str">
        <f t="shared" si="7"/>
        <v>Loss</v>
      </c>
      <c r="P456" s="5" t="str">
        <f>IF(Table2[[#This Row],[Close]]&gt;Table2[[#This Row],[Open]],"profite","loss")</f>
        <v>loss</v>
      </c>
    </row>
    <row r="457" spans="1:16" x14ac:dyDescent="0.3">
      <c r="A457" s="1">
        <v>36005</v>
      </c>
      <c r="B457">
        <v>76.973067999999998</v>
      </c>
      <c r="C457">
        <v>79.163230999999996</v>
      </c>
      <c r="D457">
        <v>76.973067999999998</v>
      </c>
      <c r="E457">
        <v>78.291381999999999</v>
      </c>
      <c r="F457">
        <v>20.614301999999999</v>
      </c>
      <c r="G457">
        <v>3921863</v>
      </c>
      <c r="O457" s="8" t="str">
        <f t="shared" si="7"/>
        <v>Profit</v>
      </c>
      <c r="P457" s="6" t="str">
        <f>IF(Table2[[#This Row],[Close]]&gt;Table2[[#This Row],[Open]],"profite","loss")</f>
        <v>profite</v>
      </c>
    </row>
    <row r="458" spans="1:16" x14ac:dyDescent="0.3">
      <c r="A458" s="1">
        <v>36006</v>
      </c>
      <c r="B458">
        <v>78.631659999999997</v>
      </c>
      <c r="C458">
        <v>80.545333999999997</v>
      </c>
      <c r="D458">
        <v>78.078789</v>
      </c>
      <c r="E458">
        <v>78.376480000000001</v>
      </c>
      <c r="F458">
        <v>20.636714999999999</v>
      </c>
      <c r="G458">
        <v>5211918</v>
      </c>
      <c r="O458" s="8" t="str">
        <f t="shared" si="7"/>
        <v>Loss</v>
      </c>
      <c r="P458" s="5" t="str">
        <f>IF(Table2[[#This Row],[Close]]&gt;Table2[[#This Row],[Open]],"profite","loss")</f>
        <v>loss</v>
      </c>
    </row>
    <row r="459" spans="1:16" x14ac:dyDescent="0.3">
      <c r="A459" s="1">
        <v>36007</v>
      </c>
      <c r="B459">
        <v>79.312027</v>
      </c>
      <c r="C459">
        <v>79.312027</v>
      </c>
      <c r="D459">
        <v>77.058159000000003</v>
      </c>
      <c r="E459">
        <v>77.249534999999995</v>
      </c>
      <c r="F459">
        <v>20.339981000000002</v>
      </c>
      <c r="G459">
        <v>3853934</v>
      </c>
      <c r="O459" s="8" t="str">
        <f t="shared" si="7"/>
        <v>Loss</v>
      </c>
      <c r="P459" s="6" t="str">
        <f>IF(Table2[[#This Row],[Close]]&gt;Table2[[#This Row],[Open]],"profite","loss")</f>
        <v>loss</v>
      </c>
    </row>
    <row r="460" spans="1:16" x14ac:dyDescent="0.3">
      <c r="A460" s="1">
        <v>36010</v>
      </c>
      <c r="B460">
        <v>76.547798</v>
      </c>
      <c r="C460">
        <v>76.973067999999998</v>
      </c>
      <c r="D460">
        <v>75.208259999999996</v>
      </c>
      <c r="E460">
        <v>75.654754999999994</v>
      </c>
      <c r="F460">
        <v>19.920074</v>
      </c>
      <c r="G460">
        <v>2257295</v>
      </c>
      <c r="O460" s="8" t="str">
        <f t="shared" si="7"/>
        <v>Loss</v>
      </c>
      <c r="P460" s="5" t="str">
        <f>IF(Table2[[#This Row],[Close]]&gt;Table2[[#This Row],[Open]],"profite","loss")</f>
        <v>loss</v>
      </c>
    </row>
    <row r="461" spans="1:16" x14ac:dyDescent="0.3">
      <c r="A461" s="1">
        <v>36011</v>
      </c>
      <c r="B461">
        <v>74.527809000000005</v>
      </c>
      <c r="C461">
        <v>75.484656999999999</v>
      </c>
      <c r="D461">
        <v>74.421509</v>
      </c>
      <c r="E461">
        <v>74.421509</v>
      </c>
      <c r="F461">
        <v>19.595355999999999</v>
      </c>
      <c r="G461">
        <v>2749031</v>
      </c>
      <c r="O461" s="8" t="str">
        <f t="shared" si="7"/>
        <v>Loss</v>
      </c>
      <c r="P461" s="6" t="str">
        <f>IF(Table2[[#This Row],[Close]]&gt;Table2[[#This Row],[Open]],"profite","loss")</f>
        <v>loss</v>
      </c>
    </row>
    <row r="462" spans="1:16" x14ac:dyDescent="0.3">
      <c r="A462" s="1">
        <v>36012</v>
      </c>
      <c r="B462">
        <v>72.826729</v>
      </c>
      <c r="C462">
        <v>73.996239000000003</v>
      </c>
      <c r="D462">
        <v>72.762932000000006</v>
      </c>
      <c r="E462">
        <v>73.464668000000003</v>
      </c>
      <c r="F462">
        <v>19.343418</v>
      </c>
      <c r="G462">
        <v>3642331</v>
      </c>
      <c r="O462" s="8" t="str">
        <f t="shared" si="7"/>
        <v>Profit</v>
      </c>
      <c r="P462" s="5" t="str">
        <f>IF(Table2[[#This Row],[Close]]&gt;Table2[[#This Row],[Open]],"profite","loss")</f>
        <v>profite</v>
      </c>
    </row>
    <row r="463" spans="1:16" x14ac:dyDescent="0.3">
      <c r="A463" s="1">
        <v>36013</v>
      </c>
      <c r="B463">
        <v>73.656058999999999</v>
      </c>
      <c r="C463">
        <v>74.612907000000007</v>
      </c>
      <c r="D463">
        <v>72.614136000000002</v>
      </c>
      <c r="E463">
        <v>73.273285000000001</v>
      </c>
      <c r="F463">
        <v>19.293023999999999</v>
      </c>
      <c r="G463">
        <v>3585222</v>
      </c>
      <c r="O463" s="8" t="str">
        <f t="shared" si="7"/>
        <v>Loss</v>
      </c>
      <c r="P463" s="6" t="str">
        <f>IF(Table2[[#This Row],[Close]]&gt;Table2[[#This Row],[Open]],"profite","loss")</f>
        <v>loss</v>
      </c>
    </row>
    <row r="464" spans="1:16" x14ac:dyDescent="0.3">
      <c r="A464" s="1">
        <v>36014</v>
      </c>
      <c r="B464">
        <v>75.059380000000004</v>
      </c>
      <c r="C464">
        <v>77.143234000000007</v>
      </c>
      <c r="D464">
        <v>74.719200000000001</v>
      </c>
      <c r="E464">
        <v>76.760475</v>
      </c>
      <c r="F464">
        <v>20.211207999999999</v>
      </c>
      <c r="G464">
        <v>4184563</v>
      </c>
      <c r="O464" s="8" t="str">
        <f t="shared" si="7"/>
        <v>Profit</v>
      </c>
      <c r="P464" s="5" t="str">
        <f>IF(Table2[[#This Row],[Close]]&gt;Table2[[#This Row],[Open]],"profite","loss")</f>
        <v>profite</v>
      </c>
    </row>
    <row r="465" spans="1:16" x14ac:dyDescent="0.3">
      <c r="A465" s="1">
        <v>36017</v>
      </c>
      <c r="B465">
        <v>77.334548999999996</v>
      </c>
      <c r="C465">
        <v>78.078789</v>
      </c>
      <c r="D465">
        <v>75.739829999999998</v>
      </c>
      <c r="E465">
        <v>75.739829999999998</v>
      </c>
      <c r="F465">
        <v>19.94248</v>
      </c>
      <c r="G465">
        <v>2934785</v>
      </c>
      <c r="O465" s="8" t="str">
        <f t="shared" si="7"/>
        <v>Loss</v>
      </c>
      <c r="P465" s="6" t="str">
        <f>IF(Table2[[#This Row],[Close]]&gt;Table2[[#This Row],[Open]],"profite","loss")</f>
        <v>loss</v>
      </c>
    </row>
    <row r="466" spans="1:16" x14ac:dyDescent="0.3">
      <c r="A466" s="1">
        <v>36018</v>
      </c>
      <c r="B466">
        <v>76.271407999999994</v>
      </c>
      <c r="C466">
        <v>76.335205000000002</v>
      </c>
      <c r="D466">
        <v>73.996239000000003</v>
      </c>
      <c r="E466">
        <v>73.996239000000003</v>
      </c>
      <c r="F466">
        <v>19.483381000000001</v>
      </c>
      <c r="G466">
        <v>3158410</v>
      </c>
      <c r="O466" s="8" t="str">
        <f t="shared" si="7"/>
        <v>Loss</v>
      </c>
      <c r="P466" s="5" t="str">
        <f>IF(Table2[[#This Row],[Close]]&gt;Table2[[#This Row],[Open]],"profite","loss")</f>
        <v>loss</v>
      </c>
    </row>
    <row r="467" spans="1:16" x14ac:dyDescent="0.3">
      <c r="A467" s="1">
        <v>36019</v>
      </c>
      <c r="B467">
        <v>75.059380000000004</v>
      </c>
      <c r="C467">
        <v>75.229477000000003</v>
      </c>
      <c r="D467">
        <v>73.996239000000003</v>
      </c>
      <c r="E467">
        <v>74.719200000000001</v>
      </c>
      <c r="F467">
        <v>19.673738</v>
      </c>
      <c r="G467">
        <v>2990090</v>
      </c>
      <c r="O467" s="8" t="str">
        <f t="shared" si="7"/>
        <v>Loss</v>
      </c>
      <c r="P467" s="6" t="str">
        <f>IF(Table2[[#This Row],[Close]]&gt;Table2[[#This Row],[Open]],"profite","loss")</f>
        <v>loss</v>
      </c>
    </row>
    <row r="468" spans="1:16" x14ac:dyDescent="0.3">
      <c r="A468" s="1">
        <v>36020</v>
      </c>
      <c r="B468">
        <v>75.357062999999997</v>
      </c>
      <c r="C468">
        <v>75.761131000000006</v>
      </c>
      <c r="D468">
        <v>74.187629999999999</v>
      </c>
      <c r="E468">
        <v>75.399651000000006</v>
      </c>
      <c r="F468">
        <v>19.852906999999998</v>
      </c>
      <c r="G468">
        <v>3285853</v>
      </c>
      <c r="O468" s="8" t="str">
        <f t="shared" si="7"/>
        <v>Profit</v>
      </c>
      <c r="P468" s="5" t="str">
        <f>IF(Table2[[#This Row],[Close]]&gt;Table2[[#This Row],[Open]],"profite","loss")</f>
        <v>profite</v>
      </c>
    </row>
    <row r="469" spans="1:16" x14ac:dyDescent="0.3">
      <c r="A469" s="1">
        <v>36021</v>
      </c>
      <c r="B469">
        <v>75.697333999999998</v>
      </c>
      <c r="C469">
        <v>77.185744999999997</v>
      </c>
      <c r="D469">
        <v>75.697333999999998</v>
      </c>
      <c r="E469">
        <v>76.845482000000004</v>
      </c>
      <c r="F469">
        <v>20.233592999999999</v>
      </c>
      <c r="G469">
        <v>2637819</v>
      </c>
      <c r="O469" s="8" t="str">
        <f t="shared" si="7"/>
        <v>Profit</v>
      </c>
      <c r="P469" s="6" t="str">
        <f>IF(Table2[[#This Row],[Close]]&gt;Table2[[#This Row],[Open]],"profite","loss")</f>
        <v>profite</v>
      </c>
    </row>
    <row r="470" spans="1:16" x14ac:dyDescent="0.3">
      <c r="A470" s="1">
        <v>36024</v>
      </c>
      <c r="B470">
        <v>75.739829999999998</v>
      </c>
      <c r="C470">
        <v>76.547798</v>
      </c>
      <c r="D470">
        <v>74.868003999999999</v>
      </c>
      <c r="E470">
        <v>75.782332999999994</v>
      </c>
      <c r="F470">
        <v>19.953666999999999</v>
      </c>
      <c r="G470">
        <v>1524501</v>
      </c>
      <c r="O470" s="8" t="str">
        <f t="shared" si="7"/>
        <v>Profit</v>
      </c>
      <c r="P470" s="5" t="str">
        <f>IF(Table2[[#This Row],[Close]]&gt;Table2[[#This Row],[Open]],"profite","loss")</f>
        <v>profite</v>
      </c>
    </row>
    <row r="471" spans="1:16" x14ac:dyDescent="0.3">
      <c r="A471" s="1">
        <v>36025</v>
      </c>
      <c r="B471">
        <v>76.590384999999998</v>
      </c>
      <c r="C471">
        <v>77.334548999999996</v>
      </c>
      <c r="D471">
        <v>76.377707999999998</v>
      </c>
      <c r="E471">
        <v>77.313338999999999</v>
      </c>
      <c r="F471">
        <v>20.356783</v>
      </c>
      <c r="G471">
        <v>2018040</v>
      </c>
      <c r="O471" s="8" t="str">
        <f t="shared" si="7"/>
        <v>Profit</v>
      </c>
      <c r="P471" s="6" t="str">
        <f>IF(Table2[[#This Row],[Close]]&gt;Table2[[#This Row],[Open]],"profite","loss")</f>
        <v>profite</v>
      </c>
    </row>
    <row r="472" spans="1:16" x14ac:dyDescent="0.3">
      <c r="A472" s="1">
        <v>36026</v>
      </c>
      <c r="B472">
        <v>77.823607999999993</v>
      </c>
      <c r="C472">
        <v>78.248878000000005</v>
      </c>
      <c r="D472">
        <v>77.313338999999999</v>
      </c>
      <c r="E472">
        <v>77.759818999999993</v>
      </c>
      <c r="F472">
        <v>20.474339000000001</v>
      </c>
      <c r="G472">
        <v>2200187</v>
      </c>
      <c r="O472" s="8" t="str">
        <f t="shared" si="7"/>
        <v>Loss</v>
      </c>
      <c r="P472" s="5" t="str">
        <f>IF(Table2[[#This Row],[Close]]&gt;Table2[[#This Row],[Open]],"profite","loss")</f>
        <v>loss</v>
      </c>
    </row>
    <row r="473" spans="1:16" x14ac:dyDescent="0.3">
      <c r="A473" s="1">
        <v>36027</v>
      </c>
      <c r="B473">
        <v>77.611014999999995</v>
      </c>
      <c r="C473">
        <v>78.674149</v>
      </c>
      <c r="D473">
        <v>76.760475</v>
      </c>
      <c r="E473">
        <v>76.802978999999993</v>
      </c>
      <c r="F473">
        <v>20.222404000000001</v>
      </c>
      <c r="G473">
        <v>2287954</v>
      </c>
      <c r="O473" s="8" t="str">
        <f t="shared" si="7"/>
        <v>Loss</v>
      </c>
      <c r="P473" s="6" t="str">
        <f>IF(Table2[[#This Row],[Close]]&gt;Table2[[#This Row],[Open]],"profite","loss")</f>
        <v>loss</v>
      </c>
    </row>
    <row r="474" spans="1:16" x14ac:dyDescent="0.3">
      <c r="A474" s="1">
        <v>36028</v>
      </c>
      <c r="B474">
        <v>76.973067999999998</v>
      </c>
      <c r="C474">
        <v>77.015656000000007</v>
      </c>
      <c r="D474">
        <v>74.208832000000001</v>
      </c>
      <c r="E474">
        <v>74.357719000000003</v>
      </c>
      <c r="F474">
        <v>19.578558000000001</v>
      </c>
      <c r="G474">
        <v>3537732</v>
      </c>
      <c r="O474" s="8" t="str">
        <f t="shared" si="7"/>
        <v>Loss</v>
      </c>
      <c r="P474" s="5" t="str">
        <f>IF(Table2[[#This Row],[Close]]&gt;Table2[[#This Row],[Open]],"profite","loss")</f>
        <v>loss</v>
      </c>
    </row>
    <row r="475" spans="1:16" x14ac:dyDescent="0.3">
      <c r="A475" s="1">
        <v>36031</v>
      </c>
      <c r="B475">
        <v>74.634101999999999</v>
      </c>
      <c r="C475">
        <v>74.995582999999996</v>
      </c>
      <c r="D475">
        <v>73.783562000000003</v>
      </c>
      <c r="E475">
        <v>74.676604999999995</v>
      </c>
      <c r="F475">
        <v>19.662521000000002</v>
      </c>
      <c r="G475">
        <v>2275330</v>
      </c>
      <c r="O475" s="8" t="str">
        <f t="shared" si="7"/>
        <v>Profit</v>
      </c>
      <c r="P475" s="6" t="str">
        <f>IF(Table2[[#This Row],[Close]]&gt;Table2[[#This Row],[Open]],"profite","loss")</f>
        <v>profite</v>
      </c>
    </row>
    <row r="476" spans="1:16" x14ac:dyDescent="0.3">
      <c r="A476" s="1">
        <v>36032</v>
      </c>
      <c r="B476">
        <v>75.357062999999997</v>
      </c>
      <c r="C476">
        <v>76.760475</v>
      </c>
      <c r="D476">
        <v>75.357062999999997</v>
      </c>
      <c r="E476">
        <v>76.760475</v>
      </c>
      <c r="F476">
        <v>20.211207999999999</v>
      </c>
      <c r="G476">
        <v>2379929</v>
      </c>
      <c r="O476" s="8" t="str">
        <f t="shared" si="7"/>
        <v>Profit</v>
      </c>
      <c r="P476" s="5" t="str">
        <f>IF(Table2[[#This Row],[Close]]&gt;Table2[[#This Row],[Open]],"profite","loss")</f>
        <v>profite</v>
      </c>
    </row>
    <row r="477" spans="1:16" x14ac:dyDescent="0.3">
      <c r="A477" s="1">
        <v>36033</v>
      </c>
      <c r="B477">
        <v>76.547798</v>
      </c>
      <c r="C477">
        <v>76.717963999999995</v>
      </c>
      <c r="D477">
        <v>74.123840000000001</v>
      </c>
      <c r="E477">
        <v>74.400222999999997</v>
      </c>
      <c r="F477">
        <v>19.589749999999999</v>
      </c>
      <c r="G477">
        <v>2411188</v>
      </c>
      <c r="O477" s="8" t="str">
        <f t="shared" si="7"/>
        <v>Loss</v>
      </c>
      <c r="P477" s="6" t="str">
        <f>IF(Table2[[#This Row],[Close]]&gt;Table2[[#This Row],[Open]],"profite","loss")</f>
        <v>loss</v>
      </c>
    </row>
    <row r="478" spans="1:16" x14ac:dyDescent="0.3">
      <c r="A478" s="1">
        <v>36034</v>
      </c>
      <c r="B478">
        <v>73.783562000000003</v>
      </c>
      <c r="C478">
        <v>74.208832000000001</v>
      </c>
      <c r="D478">
        <v>70.381461999999999</v>
      </c>
      <c r="E478">
        <v>70.466560000000001</v>
      </c>
      <c r="F478">
        <v>18.554012</v>
      </c>
      <c r="G478">
        <v>3384440</v>
      </c>
      <c r="O478" s="8" t="str">
        <f t="shared" si="7"/>
        <v>Loss</v>
      </c>
      <c r="P478" s="5" t="str">
        <f>IF(Table2[[#This Row],[Close]]&gt;Table2[[#This Row],[Open]],"profite","loss")</f>
        <v>loss</v>
      </c>
    </row>
    <row r="479" spans="1:16" x14ac:dyDescent="0.3">
      <c r="A479" s="1">
        <v>36035</v>
      </c>
      <c r="B479">
        <v>67.617241000000007</v>
      </c>
      <c r="C479">
        <v>70.041290000000004</v>
      </c>
      <c r="D479">
        <v>65.065680999999998</v>
      </c>
      <c r="E479">
        <v>68.042518999999999</v>
      </c>
      <c r="F479">
        <v>17.915754</v>
      </c>
      <c r="G479">
        <v>5857547</v>
      </c>
      <c r="O479" s="8" t="str">
        <f t="shared" si="7"/>
        <v>Profit</v>
      </c>
      <c r="P479" s="6" t="str">
        <f>IF(Table2[[#This Row],[Close]]&gt;Table2[[#This Row],[Open]],"profite","loss")</f>
        <v>profite</v>
      </c>
    </row>
    <row r="480" spans="1:16" x14ac:dyDescent="0.3">
      <c r="A480" s="1">
        <v>36038</v>
      </c>
      <c r="B480">
        <v>68.467788999999996</v>
      </c>
      <c r="C480">
        <v>69.956192000000001</v>
      </c>
      <c r="D480">
        <v>67.298264000000003</v>
      </c>
      <c r="E480">
        <v>67.702324000000004</v>
      </c>
      <c r="F480">
        <v>17.826183</v>
      </c>
      <c r="G480">
        <v>2209204</v>
      </c>
      <c r="O480" s="8" t="str">
        <f t="shared" si="7"/>
        <v>Loss</v>
      </c>
      <c r="P480" s="5" t="str">
        <f>IF(Table2[[#This Row],[Close]]&gt;Table2[[#This Row],[Open]],"profite","loss")</f>
        <v>loss</v>
      </c>
    </row>
    <row r="481" spans="1:16" x14ac:dyDescent="0.3">
      <c r="A481" s="1">
        <v>36039</v>
      </c>
      <c r="B481">
        <v>65.490951999999993</v>
      </c>
      <c r="C481">
        <v>67.702324000000004</v>
      </c>
      <c r="D481">
        <v>65.065680999999998</v>
      </c>
      <c r="E481">
        <v>66.936790000000002</v>
      </c>
      <c r="F481">
        <v>17.624614999999999</v>
      </c>
      <c r="G481">
        <v>4500163</v>
      </c>
      <c r="O481" s="8" t="str">
        <f t="shared" si="7"/>
        <v>Profit</v>
      </c>
      <c r="P481" s="6" t="str">
        <f>IF(Table2[[#This Row],[Close]]&gt;Table2[[#This Row],[Open]],"profite","loss")</f>
        <v>profite</v>
      </c>
    </row>
    <row r="482" spans="1:16" x14ac:dyDescent="0.3">
      <c r="A482" s="1">
        <v>36040</v>
      </c>
      <c r="B482">
        <v>69.701012000000006</v>
      </c>
      <c r="C482">
        <v>70.168869000000001</v>
      </c>
      <c r="D482">
        <v>68.467788999999996</v>
      </c>
      <c r="E482">
        <v>70.168869000000001</v>
      </c>
      <c r="F482">
        <v>18.475625999999998</v>
      </c>
      <c r="G482">
        <v>3509478</v>
      </c>
      <c r="O482" s="8" t="str">
        <f t="shared" si="7"/>
        <v>Profit</v>
      </c>
      <c r="P482" s="5" t="str">
        <f>IF(Table2[[#This Row],[Close]]&gt;Table2[[#This Row],[Open]],"profite","loss")</f>
        <v>profite</v>
      </c>
    </row>
    <row r="483" spans="1:16" x14ac:dyDescent="0.3">
      <c r="A483" s="1">
        <v>36041</v>
      </c>
      <c r="B483">
        <v>69.020645000000002</v>
      </c>
      <c r="C483">
        <v>69.637298999999999</v>
      </c>
      <c r="D483">
        <v>67.617241000000007</v>
      </c>
      <c r="E483">
        <v>68.042518999999999</v>
      </c>
      <c r="F483">
        <v>17.915754</v>
      </c>
      <c r="G483">
        <v>3611072</v>
      </c>
      <c r="O483" s="8" t="str">
        <f t="shared" si="7"/>
        <v>Loss</v>
      </c>
      <c r="P483" s="6" t="str">
        <f>IF(Table2[[#This Row],[Close]]&gt;Table2[[#This Row],[Open]],"profite","loss")</f>
        <v>loss</v>
      </c>
    </row>
    <row r="484" spans="1:16" x14ac:dyDescent="0.3">
      <c r="A484" s="1">
        <v>36042</v>
      </c>
      <c r="B484">
        <v>67.617241000000007</v>
      </c>
      <c r="C484">
        <v>70.764244000000005</v>
      </c>
      <c r="D484">
        <v>67.617241000000007</v>
      </c>
      <c r="E484">
        <v>68.595366999999996</v>
      </c>
      <c r="F484">
        <v>18.061319000000001</v>
      </c>
      <c r="G484">
        <v>2674489</v>
      </c>
      <c r="O484" s="8" t="str">
        <f t="shared" si="7"/>
        <v>Profit</v>
      </c>
      <c r="P484" s="5" t="str">
        <f>IF(Table2[[#This Row],[Close]]&gt;Table2[[#This Row],[Open]],"profite","loss")</f>
        <v>profite</v>
      </c>
    </row>
    <row r="485" spans="1:16" x14ac:dyDescent="0.3">
      <c r="A485" s="1">
        <v>36045</v>
      </c>
      <c r="B485">
        <v>70.147582999999997</v>
      </c>
      <c r="C485">
        <v>70.381461999999999</v>
      </c>
      <c r="D485">
        <v>68.893058999999994</v>
      </c>
      <c r="E485">
        <v>69.530922000000004</v>
      </c>
      <c r="F485">
        <v>18.307652999999998</v>
      </c>
      <c r="G485">
        <v>1320713</v>
      </c>
      <c r="O485" s="8" t="str">
        <f t="shared" si="7"/>
        <v>Loss</v>
      </c>
      <c r="P485" s="6" t="str">
        <f>IF(Table2[[#This Row],[Close]]&gt;Table2[[#This Row],[Open]],"profite","loss")</f>
        <v>loss</v>
      </c>
    </row>
    <row r="486" spans="1:16" x14ac:dyDescent="0.3">
      <c r="A486" s="1">
        <v>36046</v>
      </c>
      <c r="B486">
        <v>69.956192000000001</v>
      </c>
      <c r="C486">
        <v>70.530349999999999</v>
      </c>
      <c r="D486">
        <v>68.042518999999999</v>
      </c>
      <c r="E486">
        <v>68.425278000000006</v>
      </c>
      <c r="F486">
        <v>18.016537</v>
      </c>
      <c r="G486">
        <v>3482427</v>
      </c>
      <c r="O486" s="8" t="str">
        <f t="shared" si="7"/>
        <v>Loss</v>
      </c>
      <c r="P486" s="5" t="str">
        <f>IF(Table2[[#This Row],[Close]]&gt;Table2[[#This Row],[Open]],"profite","loss")</f>
        <v>loss</v>
      </c>
    </row>
    <row r="487" spans="1:16" x14ac:dyDescent="0.3">
      <c r="A487" s="1">
        <v>36047</v>
      </c>
      <c r="B487">
        <v>69.403335999999996</v>
      </c>
      <c r="C487">
        <v>69.701012000000006</v>
      </c>
      <c r="D487">
        <v>67.957419999999999</v>
      </c>
      <c r="E487">
        <v>68.680381999999994</v>
      </c>
      <c r="F487">
        <v>18.083708000000001</v>
      </c>
      <c r="G487">
        <v>2795319</v>
      </c>
      <c r="O487" s="8" t="str">
        <f t="shared" si="7"/>
        <v>Loss</v>
      </c>
      <c r="P487" s="6" t="str">
        <f>IF(Table2[[#This Row],[Close]]&gt;Table2[[#This Row],[Open]],"profite","loss")</f>
        <v>loss</v>
      </c>
    </row>
    <row r="488" spans="1:16" x14ac:dyDescent="0.3">
      <c r="A488" s="1">
        <v>36048</v>
      </c>
      <c r="B488">
        <v>68.170096999999998</v>
      </c>
      <c r="C488">
        <v>68.297691</v>
      </c>
      <c r="D488">
        <v>65.384574999999998</v>
      </c>
      <c r="E488">
        <v>65.873642000000004</v>
      </c>
      <c r="F488">
        <v>17.344683</v>
      </c>
      <c r="G488">
        <v>2999107</v>
      </c>
      <c r="O488" s="8" t="str">
        <f t="shared" si="7"/>
        <v>Loss</v>
      </c>
      <c r="P488" s="5" t="str">
        <f>IF(Table2[[#This Row],[Close]]&gt;Table2[[#This Row],[Open]],"profite","loss")</f>
        <v>loss</v>
      </c>
    </row>
    <row r="489" spans="1:16" x14ac:dyDescent="0.3">
      <c r="A489" s="1">
        <v>36049</v>
      </c>
      <c r="B489">
        <v>64.959311999999997</v>
      </c>
      <c r="C489">
        <v>66.341414999999998</v>
      </c>
      <c r="D489">
        <v>64.236343000000005</v>
      </c>
      <c r="E489">
        <v>65.703552000000002</v>
      </c>
      <c r="F489">
        <v>17.299897999999999</v>
      </c>
      <c r="G489">
        <v>2512180</v>
      </c>
      <c r="O489" s="8" t="str">
        <f t="shared" si="7"/>
        <v>Profit</v>
      </c>
      <c r="P489" s="6" t="str">
        <f>IF(Table2[[#This Row],[Close]]&gt;Table2[[#This Row],[Open]],"profite","loss")</f>
        <v>profite</v>
      </c>
    </row>
    <row r="490" spans="1:16" x14ac:dyDescent="0.3">
      <c r="A490" s="1">
        <v>36052</v>
      </c>
      <c r="B490">
        <v>67.510947999999999</v>
      </c>
      <c r="C490">
        <v>67.510947999999999</v>
      </c>
      <c r="D490">
        <v>66.213836999999998</v>
      </c>
      <c r="E490">
        <v>66.766684999999995</v>
      </c>
      <c r="F490">
        <v>17.579823000000001</v>
      </c>
      <c r="G490">
        <v>2234452</v>
      </c>
      <c r="O490" s="8" t="str">
        <f t="shared" si="7"/>
        <v>Loss</v>
      </c>
      <c r="P490" s="5" t="str">
        <f>IF(Table2[[#This Row],[Close]]&gt;Table2[[#This Row],[Open]],"profite","loss")</f>
        <v>loss</v>
      </c>
    </row>
    <row r="491" spans="1:16" x14ac:dyDescent="0.3">
      <c r="A491" s="1">
        <v>36053</v>
      </c>
      <c r="B491">
        <v>67.191970999999995</v>
      </c>
      <c r="C491">
        <v>67.191970999999995</v>
      </c>
      <c r="D491">
        <v>64.916801000000007</v>
      </c>
      <c r="E491">
        <v>65.427170000000004</v>
      </c>
      <c r="F491">
        <v>17.227126999999999</v>
      </c>
      <c r="G491">
        <v>1757745</v>
      </c>
      <c r="O491" s="8" t="str">
        <f t="shared" si="7"/>
        <v>Loss</v>
      </c>
      <c r="P491" s="6" t="str">
        <f>IF(Table2[[#This Row],[Close]]&gt;Table2[[#This Row],[Open]],"profite","loss")</f>
        <v>loss</v>
      </c>
    </row>
    <row r="492" spans="1:16" x14ac:dyDescent="0.3">
      <c r="A492" s="1">
        <v>36054</v>
      </c>
      <c r="B492">
        <v>66.065025000000006</v>
      </c>
      <c r="C492">
        <v>66.639106999999996</v>
      </c>
      <c r="D492">
        <v>65.427170000000004</v>
      </c>
      <c r="E492">
        <v>65.597251999999997</v>
      </c>
      <c r="F492">
        <v>17.271912</v>
      </c>
      <c r="G492">
        <v>1514882</v>
      </c>
      <c r="O492" s="8" t="str">
        <f t="shared" si="7"/>
        <v>Loss</v>
      </c>
      <c r="P492" s="5" t="str">
        <f>IF(Table2[[#This Row],[Close]]&gt;Table2[[#This Row],[Open]],"profite","loss")</f>
        <v>loss</v>
      </c>
    </row>
    <row r="493" spans="1:16" x14ac:dyDescent="0.3">
      <c r="A493" s="1">
        <v>36055</v>
      </c>
      <c r="B493">
        <v>65.894942999999998</v>
      </c>
      <c r="C493">
        <v>65.894942999999998</v>
      </c>
      <c r="D493">
        <v>61.876182999999997</v>
      </c>
      <c r="E493">
        <v>62.088776000000003</v>
      </c>
      <c r="F493">
        <v>16.348120000000002</v>
      </c>
      <c r="G493">
        <v>3472808</v>
      </c>
      <c r="O493" s="8" t="str">
        <f t="shared" si="7"/>
        <v>Loss</v>
      </c>
      <c r="P493" s="6" t="str">
        <f>IF(Table2[[#This Row],[Close]]&gt;Table2[[#This Row],[Open]],"profite","loss")</f>
        <v>loss</v>
      </c>
    </row>
    <row r="494" spans="1:16" x14ac:dyDescent="0.3">
      <c r="A494" s="1">
        <v>36056</v>
      </c>
      <c r="B494">
        <v>63.151924000000001</v>
      </c>
      <c r="C494">
        <v>63.747371999999999</v>
      </c>
      <c r="D494">
        <v>61.025635000000001</v>
      </c>
      <c r="E494">
        <v>62.492764000000001</v>
      </c>
      <c r="F494">
        <v>16.454491000000001</v>
      </c>
      <c r="G494">
        <v>4166529</v>
      </c>
      <c r="O494" s="8" t="str">
        <f t="shared" si="7"/>
        <v>Loss</v>
      </c>
      <c r="P494" s="5" t="str">
        <f>IF(Table2[[#This Row],[Close]]&gt;Table2[[#This Row],[Open]],"profite","loss")</f>
        <v>loss</v>
      </c>
    </row>
    <row r="495" spans="1:16" x14ac:dyDescent="0.3">
      <c r="A495" s="1">
        <v>36059</v>
      </c>
      <c r="B495">
        <v>62.577849999999998</v>
      </c>
      <c r="C495">
        <v>62.939326999999999</v>
      </c>
      <c r="D495">
        <v>59.452145000000002</v>
      </c>
      <c r="E495">
        <v>60.366486000000002</v>
      </c>
      <c r="F495">
        <v>15.894634</v>
      </c>
      <c r="G495">
        <v>3133763</v>
      </c>
      <c r="O495" s="8" t="str">
        <f t="shared" si="7"/>
        <v>Loss</v>
      </c>
      <c r="P495" s="6" t="str">
        <f>IF(Table2[[#This Row],[Close]]&gt;Table2[[#This Row],[Open]],"profite","loss")</f>
        <v>loss</v>
      </c>
    </row>
    <row r="496" spans="1:16" x14ac:dyDescent="0.3">
      <c r="A496" s="1">
        <v>36060</v>
      </c>
      <c r="B496">
        <v>62.046280000000003</v>
      </c>
      <c r="C496">
        <v>62.492764000000001</v>
      </c>
      <c r="D496">
        <v>61.110649000000002</v>
      </c>
      <c r="E496">
        <v>61.344611999999998</v>
      </c>
      <c r="F496">
        <v>16.152182</v>
      </c>
      <c r="G496">
        <v>1776981</v>
      </c>
      <c r="O496" s="8" t="str">
        <f t="shared" si="7"/>
        <v>Loss</v>
      </c>
      <c r="P496" s="5" t="str">
        <f>IF(Table2[[#This Row],[Close]]&gt;Table2[[#This Row],[Open]],"profite","loss")</f>
        <v>loss</v>
      </c>
    </row>
    <row r="497" spans="1:16" x14ac:dyDescent="0.3">
      <c r="A497" s="1">
        <v>36061</v>
      </c>
      <c r="B497">
        <v>61.450909000000003</v>
      </c>
      <c r="C497">
        <v>63.704777</v>
      </c>
      <c r="D497">
        <v>61.025635000000001</v>
      </c>
      <c r="E497">
        <v>63.194499999999998</v>
      </c>
      <c r="F497">
        <v>16.639263</v>
      </c>
      <c r="G497">
        <v>2227238</v>
      </c>
      <c r="O497" s="8" t="str">
        <f t="shared" si="7"/>
        <v>Profit</v>
      </c>
      <c r="P497" s="6" t="str">
        <f>IF(Table2[[#This Row],[Close]]&gt;Table2[[#This Row],[Open]],"profite","loss")</f>
        <v>profite</v>
      </c>
    </row>
    <row r="498" spans="1:16" x14ac:dyDescent="0.3">
      <c r="A498" s="1">
        <v>36062</v>
      </c>
      <c r="B498">
        <v>65.023094</v>
      </c>
      <c r="C498">
        <v>65.320785999999998</v>
      </c>
      <c r="D498">
        <v>62.131278999999999</v>
      </c>
      <c r="E498">
        <v>62.322670000000002</v>
      </c>
      <c r="F498">
        <v>16.409701999999999</v>
      </c>
      <c r="G498">
        <v>2229041</v>
      </c>
      <c r="O498" s="8" t="str">
        <f t="shared" si="7"/>
        <v>Loss</v>
      </c>
      <c r="P498" s="5" t="str">
        <f>IF(Table2[[#This Row],[Close]]&gt;Table2[[#This Row],[Open]],"profite","loss")</f>
        <v>loss</v>
      </c>
    </row>
    <row r="499" spans="1:16" x14ac:dyDescent="0.3">
      <c r="A499" s="1">
        <v>36063</v>
      </c>
      <c r="B499">
        <v>62.046280000000003</v>
      </c>
      <c r="C499">
        <v>63.045628000000001</v>
      </c>
      <c r="D499">
        <v>61.663502000000001</v>
      </c>
      <c r="E499">
        <v>62.024979000000002</v>
      </c>
      <c r="F499">
        <v>16.331323999999999</v>
      </c>
      <c r="G499">
        <v>1434329</v>
      </c>
      <c r="O499" s="8" t="str">
        <f t="shared" si="7"/>
        <v>Loss</v>
      </c>
      <c r="P499" s="6" t="str">
        <f>IF(Table2[[#This Row],[Close]]&gt;Table2[[#This Row],[Open]],"profite","loss")</f>
        <v>loss</v>
      </c>
    </row>
    <row r="500" spans="1:16" x14ac:dyDescent="0.3">
      <c r="A500" s="1">
        <v>36066</v>
      </c>
      <c r="B500">
        <v>61.450909000000003</v>
      </c>
      <c r="C500">
        <v>63.109420999999998</v>
      </c>
      <c r="D500">
        <v>61.025635000000001</v>
      </c>
      <c r="E500">
        <v>61.663502000000001</v>
      </c>
      <c r="F500">
        <v>16.236141</v>
      </c>
      <c r="G500">
        <v>1665168</v>
      </c>
      <c r="O500" s="8" t="str">
        <f t="shared" si="7"/>
        <v>Profit</v>
      </c>
      <c r="P500" s="5" t="str">
        <f>IF(Table2[[#This Row],[Close]]&gt;Table2[[#This Row],[Open]],"profite","loss")</f>
        <v>profite</v>
      </c>
    </row>
    <row r="501" spans="1:16" x14ac:dyDescent="0.3">
      <c r="A501" s="1">
        <v>36067</v>
      </c>
      <c r="B501">
        <v>61.578505999999997</v>
      </c>
      <c r="C501">
        <v>61.663502000000001</v>
      </c>
      <c r="D501">
        <v>60.387695000000001</v>
      </c>
      <c r="E501">
        <v>61.110649000000002</v>
      </c>
      <c r="F501">
        <v>16.090575999999999</v>
      </c>
      <c r="G501">
        <v>1790807</v>
      </c>
      <c r="O501" s="8" t="str">
        <f t="shared" si="7"/>
        <v>Loss</v>
      </c>
      <c r="P501" s="6" t="str">
        <f>IF(Table2[[#This Row],[Close]]&gt;Table2[[#This Row],[Open]],"profite","loss")</f>
        <v>loss</v>
      </c>
    </row>
    <row r="502" spans="1:16" x14ac:dyDescent="0.3">
      <c r="A502" s="1">
        <v>36068</v>
      </c>
      <c r="B502">
        <v>60.387695000000001</v>
      </c>
      <c r="C502">
        <v>60.557868999999997</v>
      </c>
      <c r="D502">
        <v>58.814278000000002</v>
      </c>
      <c r="E502">
        <v>59.111958000000001</v>
      </c>
      <c r="F502">
        <v>15.564317000000001</v>
      </c>
      <c r="G502">
        <v>1555159</v>
      </c>
      <c r="O502" s="8" t="str">
        <f t="shared" si="7"/>
        <v>Loss</v>
      </c>
      <c r="P502" s="5" t="str">
        <f>IF(Table2[[#This Row],[Close]]&gt;Table2[[#This Row],[Open]],"profite","loss")</f>
        <v>loss</v>
      </c>
    </row>
    <row r="503" spans="1:16" x14ac:dyDescent="0.3">
      <c r="A503" s="1">
        <v>36069</v>
      </c>
      <c r="B503">
        <v>57.942431999999997</v>
      </c>
      <c r="C503">
        <v>58.367702000000001</v>
      </c>
      <c r="D503">
        <v>54.221359</v>
      </c>
      <c r="E503">
        <v>54.242660999999998</v>
      </c>
      <c r="F503">
        <v>14.282219</v>
      </c>
      <c r="G503">
        <v>2867456</v>
      </c>
      <c r="O503" s="8" t="str">
        <f t="shared" si="7"/>
        <v>Loss</v>
      </c>
      <c r="P503" s="6" t="str">
        <f>IF(Table2[[#This Row],[Close]]&gt;Table2[[#This Row],[Open]],"profite","loss")</f>
        <v>loss</v>
      </c>
    </row>
    <row r="504" spans="1:16" x14ac:dyDescent="0.3">
      <c r="A504" s="1">
        <v>36070</v>
      </c>
      <c r="B504">
        <v>52.307682</v>
      </c>
      <c r="C504">
        <v>52.903038000000002</v>
      </c>
      <c r="D504">
        <v>48.203834999999998</v>
      </c>
      <c r="E504">
        <v>49.756129999999999</v>
      </c>
      <c r="F504">
        <v>13.100904999999999</v>
      </c>
      <c r="G504">
        <v>6558481</v>
      </c>
      <c r="O504" s="8" t="str">
        <f t="shared" si="7"/>
        <v>Loss</v>
      </c>
      <c r="P504" s="5" t="str">
        <f>IF(Table2[[#This Row],[Close]]&gt;Table2[[#This Row],[Open]],"profite","loss")</f>
        <v>loss</v>
      </c>
    </row>
    <row r="505" spans="1:16" x14ac:dyDescent="0.3">
      <c r="A505" s="1">
        <v>36073</v>
      </c>
      <c r="B505">
        <v>50.287700999999998</v>
      </c>
      <c r="C505">
        <v>52.456566000000002</v>
      </c>
      <c r="D505">
        <v>49.585957000000001</v>
      </c>
      <c r="E505">
        <v>50.819271000000001</v>
      </c>
      <c r="F505">
        <v>13.380834999999999</v>
      </c>
      <c r="G505">
        <v>2881283</v>
      </c>
      <c r="O505" s="8" t="str">
        <f t="shared" si="7"/>
        <v>Profit</v>
      </c>
      <c r="P505" s="6" t="str">
        <f>IF(Table2[[#This Row],[Close]]&gt;Table2[[#This Row],[Open]],"profite","loss")</f>
        <v>profite</v>
      </c>
    </row>
    <row r="506" spans="1:16" x14ac:dyDescent="0.3">
      <c r="A506" s="1">
        <v>36074</v>
      </c>
      <c r="B506">
        <v>49.756129999999999</v>
      </c>
      <c r="C506">
        <v>53.455910000000003</v>
      </c>
      <c r="D506">
        <v>49.543446000000003</v>
      </c>
      <c r="E506">
        <v>52.137580999999997</v>
      </c>
      <c r="F506">
        <v>13.727942000000001</v>
      </c>
      <c r="G506">
        <v>3284049</v>
      </c>
      <c r="O506" s="8" t="str">
        <f t="shared" si="7"/>
        <v>Profit</v>
      </c>
      <c r="P506" s="5" t="str">
        <f>IF(Table2[[#This Row],[Close]]&gt;Table2[[#This Row],[Open]],"profite","loss")</f>
        <v>profite</v>
      </c>
    </row>
    <row r="507" spans="1:16" x14ac:dyDescent="0.3">
      <c r="A507" s="1">
        <v>36075</v>
      </c>
      <c r="B507">
        <v>51.882407999999998</v>
      </c>
      <c r="C507">
        <v>52.881756000000003</v>
      </c>
      <c r="D507">
        <v>48.926796000000003</v>
      </c>
      <c r="E507">
        <v>49.585957000000001</v>
      </c>
      <c r="F507">
        <v>13.056094999999999</v>
      </c>
      <c r="G507">
        <v>3936290</v>
      </c>
      <c r="O507" s="8" t="str">
        <f t="shared" si="7"/>
        <v>Loss</v>
      </c>
      <c r="P507" s="6" t="str">
        <f>IF(Table2[[#This Row],[Close]]&gt;Table2[[#This Row],[Open]],"profite","loss")</f>
        <v>loss</v>
      </c>
    </row>
    <row r="508" spans="1:16" x14ac:dyDescent="0.3">
      <c r="A508" s="1">
        <v>36076</v>
      </c>
      <c r="B508">
        <v>48.799205999999998</v>
      </c>
      <c r="C508">
        <v>48.799205999999998</v>
      </c>
      <c r="D508">
        <v>43.844893999999996</v>
      </c>
      <c r="E508">
        <v>44.227673000000003</v>
      </c>
      <c r="F508">
        <v>11.645248</v>
      </c>
      <c r="G508">
        <v>5252195</v>
      </c>
      <c r="O508" s="8" t="str">
        <f t="shared" si="7"/>
        <v>Loss</v>
      </c>
      <c r="P508" s="5" t="str">
        <f>IF(Table2[[#This Row],[Close]]&gt;Table2[[#This Row],[Open]],"profite","loss")</f>
        <v>loss</v>
      </c>
    </row>
    <row r="509" spans="1:16" x14ac:dyDescent="0.3">
      <c r="A509" s="1">
        <v>36077</v>
      </c>
      <c r="B509">
        <v>46.779223999999999</v>
      </c>
      <c r="C509">
        <v>47.629767999999999</v>
      </c>
      <c r="D509">
        <v>45.503399000000002</v>
      </c>
      <c r="E509">
        <v>46.439030000000002</v>
      </c>
      <c r="F509">
        <v>12.227505000000001</v>
      </c>
      <c r="G509">
        <v>3353181</v>
      </c>
      <c r="O509" s="8" t="str">
        <f t="shared" si="7"/>
        <v>Loss</v>
      </c>
      <c r="P509" s="6" t="str">
        <f>IF(Table2[[#This Row],[Close]]&gt;Table2[[#This Row],[Open]],"profite","loss")</f>
        <v>loss</v>
      </c>
    </row>
    <row r="510" spans="1:16" x14ac:dyDescent="0.3">
      <c r="A510" s="1">
        <v>36080</v>
      </c>
      <c r="B510">
        <v>50.393996999999999</v>
      </c>
      <c r="C510">
        <v>53.881183999999998</v>
      </c>
      <c r="D510">
        <v>49.756129999999999</v>
      </c>
      <c r="E510">
        <v>53.796084999999998</v>
      </c>
      <c r="F510">
        <v>14.164634</v>
      </c>
      <c r="G510">
        <v>3115902</v>
      </c>
      <c r="O510" s="8" t="str">
        <f t="shared" si="7"/>
        <v>Profit</v>
      </c>
      <c r="P510" s="5" t="str">
        <f>IF(Table2[[#This Row],[Close]]&gt;Table2[[#This Row],[Open]],"profite","loss")</f>
        <v>profite</v>
      </c>
    </row>
    <row r="511" spans="1:16" x14ac:dyDescent="0.3">
      <c r="A511" s="1">
        <v>36081</v>
      </c>
      <c r="B511">
        <v>53.540908999999999</v>
      </c>
      <c r="C511">
        <v>56.326427000000002</v>
      </c>
      <c r="D511">
        <v>52.307682</v>
      </c>
      <c r="E511">
        <v>53.370815</v>
      </c>
      <c r="F511">
        <v>14.052659</v>
      </c>
      <c r="G511">
        <v>3767968</v>
      </c>
      <c r="O511" s="8" t="str">
        <f t="shared" si="7"/>
        <v>Loss</v>
      </c>
      <c r="P511" s="6" t="str">
        <f>IF(Table2[[#This Row],[Close]]&gt;Table2[[#This Row],[Open]],"profite","loss")</f>
        <v>loss</v>
      </c>
    </row>
    <row r="512" spans="1:16" x14ac:dyDescent="0.3">
      <c r="A512" s="1">
        <v>36082</v>
      </c>
      <c r="B512">
        <v>52.605358000000003</v>
      </c>
      <c r="C512">
        <v>54.157573999999997</v>
      </c>
      <c r="D512">
        <v>52.456566000000002</v>
      </c>
      <c r="E512">
        <v>54.157573999999997</v>
      </c>
      <c r="F512">
        <v>14.259812999999999</v>
      </c>
      <c r="G512">
        <v>2904521</v>
      </c>
      <c r="O512" s="8" t="str">
        <f t="shared" si="7"/>
        <v>Profit</v>
      </c>
      <c r="P512" s="5" t="str">
        <f>IF(Table2[[#This Row],[Close]]&gt;Table2[[#This Row],[Open]],"profite","loss")</f>
        <v>profite</v>
      </c>
    </row>
    <row r="513" spans="1:16" x14ac:dyDescent="0.3">
      <c r="A513" s="1">
        <v>36083</v>
      </c>
      <c r="B513">
        <v>53.711089999999999</v>
      </c>
      <c r="C513">
        <v>54.944313000000001</v>
      </c>
      <c r="D513">
        <v>53.030628</v>
      </c>
      <c r="E513">
        <v>53.668506999999998</v>
      </c>
      <c r="F513">
        <v>14.131043</v>
      </c>
      <c r="G513">
        <v>2945629</v>
      </c>
      <c r="O513" s="8" t="str">
        <f t="shared" si="7"/>
        <v>Loss</v>
      </c>
      <c r="P513" s="6" t="str">
        <f>IF(Table2[[#This Row],[Close]]&gt;Table2[[#This Row],[Open]],"profite","loss")</f>
        <v>loss</v>
      </c>
    </row>
    <row r="514" spans="1:16" x14ac:dyDescent="0.3">
      <c r="A514" s="1">
        <v>36084</v>
      </c>
      <c r="B514">
        <v>56.645412</v>
      </c>
      <c r="C514">
        <v>56.985596000000001</v>
      </c>
      <c r="D514">
        <v>55.071911</v>
      </c>
      <c r="E514">
        <v>55.773575000000001</v>
      </c>
      <c r="F514">
        <v>14.685309999999999</v>
      </c>
      <c r="G514">
        <v>3257810</v>
      </c>
      <c r="O514" s="8" t="str">
        <f t="shared" si="7"/>
        <v>Loss</v>
      </c>
      <c r="P514" s="5" t="str">
        <f>IF(Table2[[#This Row],[Close]]&gt;Table2[[#This Row],[Open]],"profite","loss")</f>
        <v>loss</v>
      </c>
    </row>
    <row r="515" spans="1:16" x14ac:dyDescent="0.3">
      <c r="A515" s="1">
        <v>36087</v>
      </c>
      <c r="B515">
        <v>56.177635000000002</v>
      </c>
      <c r="C515">
        <v>57.091892000000001</v>
      </c>
      <c r="D515">
        <v>55.816158000000001</v>
      </c>
      <c r="E515">
        <v>56.347729000000001</v>
      </c>
      <c r="F515">
        <v>14.836489</v>
      </c>
      <c r="G515">
        <v>2182710</v>
      </c>
      <c r="O515" s="8" t="str">
        <f t="shared" ref="O515:O578" si="8">IF(E515&gt;B515,"Profit",IF(E515&lt;B515,"Loss","No Change"))</f>
        <v>Profit</v>
      </c>
      <c r="P515" s="6" t="str">
        <f>IF(Table2[[#This Row],[Close]]&gt;Table2[[#This Row],[Open]],"profite","loss")</f>
        <v>profite</v>
      </c>
    </row>
    <row r="516" spans="1:16" x14ac:dyDescent="0.3">
      <c r="A516" s="1">
        <v>36088</v>
      </c>
      <c r="B516">
        <v>57.410862000000002</v>
      </c>
      <c r="C516">
        <v>61.217030000000001</v>
      </c>
      <c r="D516">
        <v>57.410862000000002</v>
      </c>
      <c r="E516">
        <v>59.749825000000001</v>
      </c>
      <c r="F516">
        <v>15.732272</v>
      </c>
      <c r="G516">
        <v>3706281</v>
      </c>
      <c r="O516" s="8" t="str">
        <f t="shared" si="8"/>
        <v>Profit</v>
      </c>
      <c r="P516" s="5" t="str">
        <f>IF(Table2[[#This Row],[Close]]&gt;Table2[[#This Row],[Open]],"profite","loss")</f>
        <v>profite</v>
      </c>
    </row>
    <row r="517" spans="1:16" x14ac:dyDescent="0.3">
      <c r="A517" s="1">
        <v>36089</v>
      </c>
      <c r="B517">
        <v>59.111958000000001</v>
      </c>
      <c r="C517">
        <v>59.707324999999997</v>
      </c>
      <c r="D517">
        <v>58.367702000000001</v>
      </c>
      <c r="E517">
        <v>58.367702000000001</v>
      </c>
      <c r="F517">
        <v>15.368354999999999</v>
      </c>
      <c r="G517">
        <v>2301010</v>
      </c>
      <c r="O517" s="8" t="str">
        <f t="shared" si="8"/>
        <v>Loss</v>
      </c>
      <c r="P517" s="6" t="str">
        <f>IF(Table2[[#This Row],[Close]]&gt;Table2[[#This Row],[Open]],"profite","loss")</f>
        <v>loss</v>
      </c>
    </row>
    <row r="518" spans="1:16" x14ac:dyDescent="0.3">
      <c r="A518" s="1">
        <v>36090</v>
      </c>
      <c r="B518">
        <v>58.686680000000003</v>
      </c>
      <c r="C518">
        <v>58.941775999999997</v>
      </c>
      <c r="D518">
        <v>56.432727999999997</v>
      </c>
      <c r="E518">
        <v>56.475310999999998</v>
      </c>
      <c r="F518">
        <v>14.870082</v>
      </c>
      <c r="G518">
        <v>1916314</v>
      </c>
      <c r="O518" s="8" t="str">
        <f t="shared" si="8"/>
        <v>Loss</v>
      </c>
      <c r="P518" s="5" t="str">
        <f>IF(Table2[[#This Row],[Close]]&gt;Table2[[#This Row],[Open]],"profite","loss")</f>
        <v>loss</v>
      </c>
    </row>
    <row r="519" spans="1:16" x14ac:dyDescent="0.3">
      <c r="A519" s="1">
        <v>36091</v>
      </c>
      <c r="B519">
        <v>56.135052000000002</v>
      </c>
      <c r="C519">
        <v>58.686680000000003</v>
      </c>
      <c r="D519">
        <v>55.071911</v>
      </c>
      <c r="E519">
        <v>56.943085000000004</v>
      </c>
      <c r="F519">
        <v>14.993245999999999</v>
      </c>
      <c r="G519">
        <v>2011930</v>
      </c>
      <c r="O519" s="8" t="str">
        <f t="shared" si="8"/>
        <v>Profit</v>
      </c>
      <c r="P519" s="6" t="str">
        <f>IF(Table2[[#This Row],[Close]]&gt;Table2[[#This Row],[Open]],"profite","loss")</f>
        <v>profite</v>
      </c>
    </row>
    <row r="520" spans="1:16" x14ac:dyDescent="0.3">
      <c r="A520" s="1">
        <v>36094</v>
      </c>
      <c r="B520">
        <v>58.792976000000003</v>
      </c>
      <c r="C520">
        <v>58.984360000000002</v>
      </c>
      <c r="D520">
        <v>56.177635000000002</v>
      </c>
      <c r="E520">
        <v>56.347729000000001</v>
      </c>
      <c r="F520">
        <v>14.836489</v>
      </c>
      <c r="G520">
        <v>1068662</v>
      </c>
      <c r="O520" s="8" t="str">
        <f t="shared" si="8"/>
        <v>Loss</v>
      </c>
      <c r="P520" s="5" t="str">
        <f>IF(Table2[[#This Row],[Close]]&gt;Table2[[#This Row],[Open]],"profite","loss")</f>
        <v>loss</v>
      </c>
    </row>
    <row r="521" spans="1:16" x14ac:dyDescent="0.3">
      <c r="A521" s="1">
        <v>36095</v>
      </c>
      <c r="B521">
        <v>56.985596000000001</v>
      </c>
      <c r="C521">
        <v>58.091312000000002</v>
      </c>
      <c r="D521">
        <v>55.709781999999997</v>
      </c>
      <c r="E521">
        <v>55.901156999999998</v>
      </c>
      <c r="F521">
        <v>14.718904999999999</v>
      </c>
      <c r="G521">
        <v>1447539</v>
      </c>
      <c r="O521" s="8" t="str">
        <f t="shared" si="8"/>
        <v>Loss</v>
      </c>
      <c r="P521" s="6" t="str">
        <f>IF(Table2[[#This Row],[Close]]&gt;Table2[[#This Row],[Open]],"profite","loss")</f>
        <v>loss</v>
      </c>
    </row>
    <row r="522" spans="1:16" x14ac:dyDescent="0.3">
      <c r="A522" s="1">
        <v>36096</v>
      </c>
      <c r="B522">
        <v>55.284508000000002</v>
      </c>
      <c r="C522">
        <v>56.220131000000002</v>
      </c>
      <c r="D522">
        <v>53.966178999999997</v>
      </c>
      <c r="E522">
        <v>54.391460000000002</v>
      </c>
      <c r="F522">
        <v>14.321400000000001</v>
      </c>
      <c r="G522">
        <v>1045998</v>
      </c>
      <c r="O522" s="8" t="str">
        <f t="shared" si="8"/>
        <v>Loss</v>
      </c>
      <c r="P522" s="5" t="str">
        <f>IF(Table2[[#This Row],[Close]]&gt;Table2[[#This Row],[Open]],"profite","loss")</f>
        <v>loss</v>
      </c>
    </row>
    <row r="523" spans="1:16" x14ac:dyDescent="0.3">
      <c r="A523" s="1">
        <v>36097</v>
      </c>
      <c r="B523">
        <v>54.519050999999997</v>
      </c>
      <c r="C523">
        <v>54.986823999999999</v>
      </c>
      <c r="D523">
        <v>52.945549</v>
      </c>
      <c r="E523">
        <v>53.944969</v>
      </c>
      <c r="F523">
        <v>14.203837</v>
      </c>
      <c r="G523">
        <v>1530061</v>
      </c>
      <c r="O523" s="8" t="str">
        <f t="shared" si="8"/>
        <v>Loss</v>
      </c>
      <c r="P523" s="6" t="str">
        <f>IF(Table2[[#This Row],[Close]]&gt;Table2[[#This Row],[Open]],"profite","loss")</f>
        <v>loss</v>
      </c>
    </row>
    <row r="524" spans="1:16" x14ac:dyDescent="0.3">
      <c r="A524" s="1">
        <v>36098</v>
      </c>
      <c r="B524">
        <v>53.668506999999998</v>
      </c>
      <c r="C524">
        <v>55.497185000000002</v>
      </c>
      <c r="D524">
        <v>53.668506999999998</v>
      </c>
      <c r="E524">
        <v>55.497185000000002</v>
      </c>
      <c r="F524">
        <v>14.612538000000001</v>
      </c>
      <c r="G524">
        <v>2053511</v>
      </c>
      <c r="O524" s="8" t="str">
        <f t="shared" si="8"/>
        <v>Profit</v>
      </c>
      <c r="P524" s="5" t="str">
        <f>IF(Table2[[#This Row],[Close]]&gt;Table2[[#This Row],[Open]],"profite","loss")</f>
        <v>profite</v>
      </c>
    </row>
    <row r="525" spans="1:16" x14ac:dyDescent="0.3">
      <c r="A525" s="1">
        <v>36101</v>
      </c>
      <c r="B525">
        <v>56.050037000000003</v>
      </c>
      <c r="C525">
        <v>57.623539000000001</v>
      </c>
      <c r="D525">
        <v>55.709781999999997</v>
      </c>
      <c r="E525">
        <v>57.283279</v>
      </c>
      <c r="F525">
        <v>15.08282</v>
      </c>
      <c r="G525">
        <v>1016704</v>
      </c>
      <c r="O525" s="8" t="str">
        <f t="shared" si="8"/>
        <v>Profit</v>
      </c>
      <c r="P525" s="6" t="str">
        <f>IF(Table2[[#This Row],[Close]]&gt;Table2[[#This Row],[Open]],"profite","loss")</f>
        <v>profite</v>
      </c>
    </row>
    <row r="526" spans="1:16" x14ac:dyDescent="0.3">
      <c r="A526" s="1">
        <v>36102</v>
      </c>
      <c r="B526">
        <v>56.985596000000001</v>
      </c>
      <c r="C526">
        <v>57.751052999999999</v>
      </c>
      <c r="D526">
        <v>55.284508000000002</v>
      </c>
      <c r="E526">
        <v>55.454681000000001</v>
      </c>
      <c r="F526">
        <v>14.601345999999999</v>
      </c>
      <c r="G526">
        <v>1109146</v>
      </c>
      <c r="O526" s="8" t="str">
        <f t="shared" si="8"/>
        <v>Loss</v>
      </c>
      <c r="P526" s="5" t="str">
        <f>IF(Table2[[#This Row],[Close]]&gt;Table2[[#This Row],[Open]],"profite","loss")</f>
        <v>loss</v>
      </c>
    </row>
    <row r="527" spans="1:16" x14ac:dyDescent="0.3">
      <c r="A527" s="1">
        <v>36103</v>
      </c>
      <c r="B527">
        <v>55.816158000000001</v>
      </c>
      <c r="C527">
        <v>58.835479999999997</v>
      </c>
      <c r="D527">
        <v>55.816158000000001</v>
      </c>
      <c r="E527">
        <v>57.793633</v>
      </c>
      <c r="F527">
        <v>15.2172</v>
      </c>
      <c r="G527">
        <v>894332</v>
      </c>
      <c r="O527" s="8" t="str">
        <f t="shared" si="8"/>
        <v>Profit</v>
      </c>
      <c r="P527" s="6" t="str">
        <f>IF(Table2[[#This Row],[Close]]&gt;Table2[[#This Row],[Open]],"profite","loss")</f>
        <v>profite</v>
      </c>
    </row>
    <row r="528" spans="1:16" x14ac:dyDescent="0.3">
      <c r="A528" s="1">
        <v>36104</v>
      </c>
      <c r="B528">
        <v>57.410862000000002</v>
      </c>
      <c r="C528">
        <v>58.686680000000003</v>
      </c>
      <c r="D528">
        <v>57.219475000000003</v>
      </c>
      <c r="E528">
        <v>58.559097000000001</v>
      </c>
      <c r="F528">
        <v>15.418747</v>
      </c>
      <c r="G528">
        <v>754494</v>
      </c>
      <c r="O528" s="8" t="str">
        <f t="shared" si="8"/>
        <v>Profit</v>
      </c>
      <c r="P528" s="5" t="str">
        <f>IF(Table2[[#This Row],[Close]]&gt;Table2[[#This Row],[Open]],"profite","loss")</f>
        <v>profite</v>
      </c>
    </row>
    <row r="529" spans="1:16" x14ac:dyDescent="0.3">
      <c r="A529" s="1">
        <v>36105</v>
      </c>
      <c r="B529">
        <v>59.409633999999997</v>
      </c>
      <c r="C529">
        <v>61.876182999999997</v>
      </c>
      <c r="D529">
        <v>58.856777000000001</v>
      </c>
      <c r="E529">
        <v>59.090668000000001</v>
      </c>
      <c r="F529">
        <v>15.558711000000001</v>
      </c>
      <c r="G529">
        <v>479700</v>
      </c>
      <c r="O529" s="8" t="str">
        <f t="shared" si="8"/>
        <v>Loss</v>
      </c>
      <c r="P529" s="6" t="str">
        <f>IF(Table2[[#This Row],[Close]]&gt;Table2[[#This Row],[Open]],"profite","loss")</f>
        <v>loss</v>
      </c>
    </row>
    <row r="530" spans="1:16" x14ac:dyDescent="0.3">
      <c r="A530" s="1">
        <v>36108</v>
      </c>
      <c r="B530">
        <v>59.749825000000001</v>
      </c>
      <c r="C530">
        <v>60.175097999999998</v>
      </c>
      <c r="D530">
        <v>57.325867000000002</v>
      </c>
      <c r="E530">
        <v>57.495956</v>
      </c>
      <c r="F530">
        <v>15.138821</v>
      </c>
      <c r="G530">
        <v>283766</v>
      </c>
      <c r="O530" s="8" t="str">
        <f t="shared" si="8"/>
        <v>Loss</v>
      </c>
      <c r="P530" s="5" t="str">
        <f>IF(Table2[[#This Row],[Close]]&gt;Table2[[#This Row],[Open]],"profite","loss")</f>
        <v>loss</v>
      </c>
    </row>
    <row r="531" spans="1:16" x14ac:dyDescent="0.3">
      <c r="A531" s="1">
        <v>36109</v>
      </c>
      <c r="B531">
        <v>56.581608000000003</v>
      </c>
      <c r="C531">
        <v>57.666049999999998</v>
      </c>
      <c r="D531">
        <v>54.667934000000002</v>
      </c>
      <c r="E531">
        <v>54.859318000000002</v>
      </c>
      <c r="F531">
        <v>14.444587</v>
      </c>
      <c r="G531">
        <v>161371</v>
      </c>
      <c r="O531" s="8" t="str">
        <f t="shared" si="8"/>
        <v>Loss</v>
      </c>
      <c r="P531" s="6" t="str">
        <f>IF(Table2[[#This Row],[Close]]&gt;Table2[[#This Row],[Open]],"profite","loss")</f>
        <v>loss</v>
      </c>
    </row>
    <row r="532" spans="1:16" x14ac:dyDescent="0.3">
      <c r="A532" s="1">
        <v>36110</v>
      </c>
      <c r="B532">
        <v>55.709781999999997</v>
      </c>
      <c r="C532">
        <v>61.663502000000001</v>
      </c>
      <c r="D532">
        <v>55.709781999999997</v>
      </c>
      <c r="E532">
        <v>58.686680000000003</v>
      </c>
      <c r="F532">
        <v>15.452342</v>
      </c>
      <c r="G532">
        <v>247426</v>
      </c>
      <c r="O532" s="8" t="str">
        <f t="shared" si="8"/>
        <v>Profit</v>
      </c>
      <c r="P532" s="5" t="str">
        <f>IF(Table2[[#This Row],[Close]]&gt;Table2[[#This Row],[Open]],"profite","loss")</f>
        <v>profite</v>
      </c>
    </row>
    <row r="533" spans="1:16" x14ac:dyDescent="0.3">
      <c r="A533" s="1">
        <v>36111</v>
      </c>
      <c r="B533">
        <v>58.452801000000001</v>
      </c>
      <c r="C533">
        <v>62.088776000000003</v>
      </c>
      <c r="D533">
        <v>55.922459000000003</v>
      </c>
      <c r="E533">
        <v>57.580952000000003</v>
      </c>
      <c r="F533">
        <v>15.161201</v>
      </c>
      <c r="G533">
        <v>178323</v>
      </c>
      <c r="O533" s="8" t="str">
        <f t="shared" si="8"/>
        <v>Loss</v>
      </c>
      <c r="P533" s="6" t="str">
        <f>IF(Table2[[#This Row],[Close]]&gt;Table2[[#This Row],[Open]],"profite","loss")</f>
        <v>loss</v>
      </c>
    </row>
    <row r="534" spans="1:16" x14ac:dyDescent="0.3">
      <c r="A534" s="1">
        <v>36112</v>
      </c>
      <c r="B534">
        <v>55.284508000000002</v>
      </c>
      <c r="C534">
        <v>56.858006000000003</v>
      </c>
      <c r="D534">
        <v>55.156993999999997</v>
      </c>
      <c r="E534">
        <v>55.497185000000002</v>
      </c>
      <c r="F534">
        <v>14.612538000000001</v>
      </c>
      <c r="G534">
        <v>15267739</v>
      </c>
      <c r="O534" s="8" t="str">
        <f t="shared" si="8"/>
        <v>Profit</v>
      </c>
      <c r="P534" s="5" t="str">
        <f>IF(Table2[[#This Row],[Close]]&gt;Table2[[#This Row],[Open]],"profite","loss")</f>
        <v>profite</v>
      </c>
    </row>
    <row r="535" spans="1:16" x14ac:dyDescent="0.3">
      <c r="A535" s="1">
        <v>36115</v>
      </c>
      <c r="B535">
        <v>56.858006000000003</v>
      </c>
      <c r="C535">
        <v>60.664158</v>
      </c>
      <c r="D535">
        <v>56.858006000000003</v>
      </c>
      <c r="E535">
        <v>59.919918000000003</v>
      </c>
      <c r="F535">
        <v>15.777056</v>
      </c>
      <c r="G535">
        <v>15464068</v>
      </c>
      <c r="O535" s="8" t="str">
        <f t="shared" si="8"/>
        <v>Profit</v>
      </c>
      <c r="P535" s="6" t="str">
        <f>IF(Table2[[#This Row],[Close]]&gt;Table2[[#This Row],[Open]],"profite","loss")</f>
        <v>profite</v>
      </c>
    </row>
    <row r="536" spans="1:16" x14ac:dyDescent="0.3">
      <c r="A536" s="1">
        <v>36116</v>
      </c>
      <c r="B536">
        <v>60.281395000000003</v>
      </c>
      <c r="C536">
        <v>61.748600000000003</v>
      </c>
      <c r="D536">
        <v>58.729179000000002</v>
      </c>
      <c r="E536">
        <v>59.239547999999999</v>
      </c>
      <c r="F536">
        <v>15.597911</v>
      </c>
      <c r="G536">
        <v>17057620</v>
      </c>
      <c r="O536" s="8" t="str">
        <f t="shared" si="8"/>
        <v>Loss</v>
      </c>
      <c r="P536" s="5" t="str">
        <f>IF(Table2[[#This Row],[Close]]&gt;Table2[[#This Row],[Open]],"profite","loss")</f>
        <v>loss</v>
      </c>
    </row>
    <row r="537" spans="1:16" x14ac:dyDescent="0.3">
      <c r="A537" s="1">
        <v>36117</v>
      </c>
      <c r="B537">
        <v>59.537230999999998</v>
      </c>
      <c r="C537">
        <v>60.621654999999997</v>
      </c>
      <c r="D537">
        <v>59.111958000000001</v>
      </c>
      <c r="E537">
        <v>59.707324999999997</v>
      </c>
      <c r="F537">
        <v>15.721078</v>
      </c>
      <c r="G537">
        <v>9398042</v>
      </c>
      <c r="O537" s="8" t="str">
        <f t="shared" si="8"/>
        <v>Profit</v>
      </c>
      <c r="P537" s="6" t="str">
        <f>IF(Table2[[#This Row],[Close]]&gt;Table2[[#This Row],[Open]],"profite","loss")</f>
        <v>profite</v>
      </c>
    </row>
    <row r="538" spans="1:16" x14ac:dyDescent="0.3">
      <c r="A538" s="1">
        <v>36118</v>
      </c>
      <c r="B538">
        <v>60.600372</v>
      </c>
      <c r="C538">
        <v>63.237003000000001</v>
      </c>
      <c r="D538">
        <v>60.557868999999997</v>
      </c>
      <c r="E538">
        <v>62.747943999999997</v>
      </c>
      <c r="F538">
        <v>16.521678999999999</v>
      </c>
      <c r="G538">
        <v>12756526</v>
      </c>
      <c r="O538" s="8" t="str">
        <f t="shared" si="8"/>
        <v>Profit</v>
      </c>
      <c r="P538" s="5" t="str">
        <f>IF(Table2[[#This Row],[Close]]&gt;Table2[[#This Row],[Open]],"profite","loss")</f>
        <v>profite</v>
      </c>
    </row>
    <row r="539" spans="1:16" x14ac:dyDescent="0.3">
      <c r="A539" s="1">
        <v>36119</v>
      </c>
      <c r="B539">
        <v>63.598480000000002</v>
      </c>
      <c r="C539">
        <v>66.128822</v>
      </c>
      <c r="D539">
        <v>63.470897999999998</v>
      </c>
      <c r="E539">
        <v>65.597251999999997</v>
      </c>
      <c r="F539">
        <v>17.271912</v>
      </c>
      <c r="G539">
        <v>11003100</v>
      </c>
      <c r="O539" s="8" t="str">
        <f t="shared" si="8"/>
        <v>Profit</v>
      </c>
      <c r="P539" s="6" t="str">
        <f>IF(Table2[[#This Row],[Close]]&gt;Table2[[#This Row],[Open]],"profite","loss")</f>
        <v>profite</v>
      </c>
    </row>
    <row r="540" spans="1:16" x14ac:dyDescent="0.3">
      <c r="A540" s="1">
        <v>36122</v>
      </c>
      <c r="B540">
        <v>67.170753000000005</v>
      </c>
      <c r="C540">
        <v>68.255195999999998</v>
      </c>
      <c r="D540">
        <v>66.894287000000006</v>
      </c>
      <c r="E540">
        <v>65.597251999999997</v>
      </c>
      <c r="F540">
        <v>17.271912</v>
      </c>
      <c r="G540">
        <v>6322878</v>
      </c>
      <c r="O540" s="8" t="str">
        <f t="shared" si="8"/>
        <v>Loss</v>
      </c>
      <c r="P540" s="5" t="str">
        <f>IF(Table2[[#This Row],[Close]]&gt;Table2[[#This Row],[Open]],"profite","loss")</f>
        <v>loss</v>
      </c>
    </row>
    <row r="541" spans="1:16" x14ac:dyDescent="0.3">
      <c r="A541" s="1">
        <v>36123</v>
      </c>
      <c r="B541">
        <v>68.212608000000003</v>
      </c>
      <c r="C541">
        <v>68.467788999999996</v>
      </c>
      <c r="D541">
        <v>65.958732999999995</v>
      </c>
      <c r="E541">
        <v>66.979377999999997</v>
      </c>
      <c r="F541">
        <v>17.635829999999999</v>
      </c>
      <c r="G541">
        <v>8139525</v>
      </c>
      <c r="O541" s="8" t="str">
        <f t="shared" si="8"/>
        <v>Loss</v>
      </c>
      <c r="P541" s="6" t="str">
        <f>IF(Table2[[#This Row],[Close]]&gt;Table2[[#This Row],[Open]],"profite","loss")</f>
        <v>loss</v>
      </c>
    </row>
    <row r="542" spans="1:16" x14ac:dyDescent="0.3">
      <c r="A542" s="1">
        <v>36124</v>
      </c>
      <c r="B542">
        <v>65.065680999999998</v>
      </c>
      <c r="C542">
        <v>65.809844999999996</v>
      </c>
      <c r="D542">
        <v>64.427741999999995</v>
      </c>
      <c r="E542">
        <v>65.065680999999998</v>
      </c>
      <c r="F542">
        <v>17.131945000000002</v>
      </c>
      <c r="G542">
        <v>7493375</v>
      </c>
      <c r="O542" s="8" t="str">
        <f t="shared" si="8"/>
        <v>No Change</v>
      </c>
      <c r="P542" s="5" t="str">
        <f>IF(Table2[[#This Row],[Close]]&gt;Table2[[#This Row],[Open]],"profite","loss")</f>
        <v>loss</v>
      </c>
    </row>
    <row r="543" spans="1:16" x14ac:dyDescent="0.3">
      <c r="A543" s="1">
        <v>36125</v>
      </c>
      <c r="B543">
        <v>65.703552000000002</v>
      </c>
      <c r="C543">
        <v>67.914917000000003</v>
      </c>
      <c r="D543">
        <v>65.682265999999998</v>
      </c>
      <c r="E543">
        <v>67.914917000000003</v>
      </c>
      <c r="F543">
        <v>17.882155999999998</v>
      </c>
      <c r="G543">
        <v>5238406</v>
      </c>
      <c r="O543" s="8" t="str">
        <f t="shared" si="8"/>
        <v>Profit</v>
      </c>
      <c r="P543" s="6" t="str">
        <f>IF(Table2[[#This Row],[Close]]&gt;Table2[[#This Row],[Open]],"profite","loss")</f>
        <v>profite</v>
      </c>
    </row>
    <row r="544" spans="1:16" x14ac:dyDescent="0.3">
      <c r="A544" s="1">
        <v>36126</v>
      </c>
      <c r="B544">
        <v>67.319557000000003</v>
      </c>
      <c r="C544">
        <v>68.850548000000003</v>
      </c>
      <c r="D544">
        <v>67.234549999999999</v>
      </c>
      <c r="E544">
        <v>68.467788999999996</v>
      </c>
      <c r="F544">
        <v>18.027726999999999</v>
      </c>
      <c r="G544">
        <v>6658570</v>
      </c>
      <c r="O544" s="8" t="str">
        <f t="shared" si="8"/>
        <v>Profit</v>
      </c>
      <c r="P544" s="5" t="str">
        <f>IF(Table2[[#This Row],[Close]]&gt;Table2[[#This Row],[Open]],"profite","loss")</f>
        <v>profite</v>
      </c>
    </row>
    <row r="545" spans="1:16" x14ac:dyDescent="0.3">
      <c r="A545" s="1">
        <v>36129</v>
      </c>
      <c r="B545">
        <v>68.233894000000006</v>
      </c>
      <c r="C545">
        <v>70.041290000000004</v>
      </c>
      <c r="D545">
        <v>67.404647999999995</v>
      </c>
      <c r="E545">
        <v>67.425858000000005</v>
      </c>
      <c r="F545">
        <v>17.753381999999998</v>
      </c>
      <c r="G545">
        <v>6685524</v>
      </c>
      <c r="O545" s="8" t="str">
        <f t="shared" si="8"/>
        <v>Loss</v>
      </c>
      <c r="P545" s="6" t="str">
        <f>IF(Table2[[#This Row],[Close]]&gt;Table2[[#This Row],[Open]],"profite","loss")</f>
        <v>loss</v>
      </c>
    </row>
    <row r="546" spans="1:16" x14ac:dyDescent="0.3">
      <c r="A546" s="1">
        <v>36130</v>
      </c>
      <c r="B546">
        <v>66.298919999999995</v>
      </c>
      <c r="C546">
        <v>66.766684999999995</v>
      </c>
      <c r="D546">
        <v>64.555321000000006</v>
      </c>
      <c r="E546">
        <v>67.425858000000005</v>
      </c>
      <c r="F546">
        <v>17.753381999999998</v>
      </c>
      <c r="G546">
        <v>7059201</v>
      </c>
      <c r="O546" s="8" t="str">
        <f t="shared" si="8"/>
        <v>Profit</v>
      </c>
      <c r="P546" s="5" t="str">
        <f>IF(Table2[[#This Row],[Close]]&gt;Table2[[#This Row],[Open]],"profite","loss")</f>
        <v>profite</v>
      </c>
    </row>
    <row r="547" spans="1:16" x14ac:dyDescent="0.3">
      <c r="A547" s="1">
        <v>36131</v>
      </c>
      <c r="B547">
        <v>66.341414999999998</v>
      </c>
      <c r="C547">
        <v>66.40522</v>
      </c>
      <c r="D547">
        <v>62.046280000000003</v>
      </c>
      <c r="E547">
        <v>62.981822999999999</v>
      </c>
      <c r="F547">
        <v>16.583258000000001</v>
      </c>
      <c r="G547">
        <v>9967571</v>
      </c>
      <c r="O547" s="8" t="str">
        <f t="shared" si="8"/>
        <v>Loss</v>
      </c>
      <c r="P547" s="6" t="str">
        <f>IF(Table2[[#This Row],[Close]]&gt;Table2[[#This Row],[Open]],"profite","loss")</f>
        <v>loss</v>
      </c>
    </row>
    <row r="548" spans="1:16" x14ac:dyDescent="0.3">
      <c r="A548" s="1">
        <v>36132</v>
      </c>
      <c r="B548">
        <v>62.280169999999998</v>
      </c>
      <c r="C548">
        <v>64.427741999999995</v>
      </c>
      <c r="D548">
        <v>60.919338000000003</v>
      </c>
      <c r="E548">
        <v>62.684147000000003</v>
      </c>
      <c r="F548">
        <v>16.504881000000001</v>
      </c>
      <c r="G548">
        <v>8656123</v>
      </c>
      <c r="O548" s="8" t="str">
        <f t="shared" si="8"/>
        <v>Profit</v>
      </c>
      <c r="P548" s="5" t="str">
        <f>IF(Table2[[#This Row],[Close]]&gt;Table2[[#This Row],[Open]],"profite","loss")</f>
        <v>profite</v>
      </c>
    </row>
    <row r="549" spans="1:16" x14ac:dyDescent="0.3">
      <c r="A549" s="1">
        <v>36133</v>
      </c>
      <c r="B549">
        <v>61.578505999999997</v>
      </c>
      <c r="C549">
        <v>63.343299999999999</v>
      </c>
      <c r="D549">
        <v>60.600372</v>
      </c>
      <c r="E549">
        <v>62.386467000000003</v>
      </c>
      <c r="F549">
        <v>16.426500000000001</v>
      </c>
      <c r="G549">
        <v>6790950</v>
      </c>
      <c r="O549" s="8" t="str">
        <f t="shared" si="8"/>
        <v>Profit</v>
      </c>
      <c r="P549" s="6" t="str">
        <f>IF(Table2[[#This Row],[Close]]&gt;Table2[[#This Row],[Open]],"profite","loss")</f>
        <v>profite</v>
      </c>
    </row>
    <row r="550" spans="1:16" x14ac:dyDescent="0.3">
      <c r="A550" s="1">
        <v>36136</v>
      </c>
      <c r="B550">
        <v>63.279513999999999</v>
      </c>
      <c r="C550">
        <v>64.108849000000006</v>
      </c>
      <c r="D550">
        <v>62.322670000000002</v>
      </c>
      <c r="E550">
        <v>62.726734</v>
      </c>
      <c r="F550">
        <v>16.516096000000001</v>
      </c>
      <c r="G550">
        <v>4405598</v>
      </c>
      <c r="O550" s="8" t="str">
        <f t="shared" si="8"/>
        <v>Loss</v>
      </c>
      <c r="P550" s="5" t="str">
        <f>IF(Table2[[#This Row],[Close]]&gt;Table2[[#This Row],[Open]],"profite","loss")</f>
        <v>loss</v>
      </c>
    </row>
    <row r="551" spans="1:16" x14ac:dyDescent="0.3">
      <c r="A551" s="1">
        <v>36137</v>
      </c>
      <c r="B551">
        <v>62.939326999999999</v>
      </c>
      <c r="C551">
        <v>64.534035000000003</v>
      </c>
      <c r="D551">
        <v>62.833030999999998</v>
      </c>
      <c r="E551">
        <v>62.726734</v>
      </c>
      <c r="F551">
        <v>16.516096000000001</v>
      </c>
      <c r="G551">
        <v>4434327</v>
      </c>
      <c r="O551" s="8" t="str">
        <f t="shared" si="8"/>
        <v>Loss</v>
      </c>
      <c r="P551" s="6" t="str">
        <f>IF(Table2[[#This Row],[Close]]&gt;Table2[[#This Row],[Open]],"profite","loss")</f>
        <v>loss</v>
      </c>
    </row>
    <row r="552" spans="1:16" x14ac:dyDescent="0.3">
      <c r="A552" s="1">
        <v>36138</v>
      </c>
      <c r="B552">
        <v>63.789870999999998</v>
      </c>
      <c r="C552">
        <v>65.193282999999994</v>
      </c>
      <c r="D552">
        <v>63.428393999999997</v>
      </c>
      <c r="E552">
        <v>64.853012000000007</v>
      </c>
      <c r="F552">
        <v>17.075949000000001</v>
      </c>
      <c r="G552">
        <v>4454159</v>
      </c>
      <c r="O552" s="8" t="str">
        <f t="shared" si="8"/>
        <v>Profit</v>
      </c>
      <c r="P552" s="5" t="str">
        <f>IF(Table2[[#This Row],[Close]]&gt;Table2[[#This Row],[Open]],"profite","loss")</f>
        <v>profite</v>
      </c>
    </row>
    <row r="553" spans="1:16" x14ac:dyDescent="0.3">
      <c r="A553" s="1">
        <v>36139</v>
      </c>
      <c r="B553">
        <v>64.640418999999994</v>
      </c>
      <c r="C553">
        <v>65.682265999999998</v>
      </c>
      <c r="D553">
        <v>64.044556</v>
      </c>
      <c r="E553">
        <v>64.640418999999994</v>
      </c>
      <c r="F553">
        <v>17.019971999999999</v>
      </c>
      <c r="G553">
        <v>5527729</v>
      </c>
      <c r="O553" s="8" t="str">
        <f t="shared" si="8"/>
        <v>No Change</v>
      </c>
      <c r="P553" s="6" t="str">
        <f>IF(Table2[[#This Row],[Close]]&gt;Table2[[#This Row],[Open]],"profite","loss")</f>
        <v>loss</v>
      </c>
    </row>
    <row r="554" spans="1:16" x14ac:dyDescent="0.3">
      <c r="A554" s="1">
        <v>36140</v>
      </c>
      <c r="B554">
        <v>63.343299999999999</v>
      </c>
      <c r="C554">
        <v>63.959964999999997</v>
      </c>
      <c r="D554">
        <v>62.556556999999998</v>
      </c>
      <c r="E554">
        <v>64.640418999999994</v>
      </c>
      <c r="F554">
        <v>17.019971999999999</v>
      </c>
      <c r="G554">
        <v>5444397</v>
      </c>
      <c r="O554" s="8" t="str">
        <f t="shared" si="8"/>
        <v>Profit</v>
      </c>
      <c r="P554" s="5" t="str">
        <f>IF(Table2[[#This Row],[Close]]&gt;Table2[[#This Row],[Open]],"profite","loss")</f>
        <v>profite</v>
      </c>
    </row>
    <row r="555" spans="1:16" x14ac:dyDescent="0.3">
      <c r="A555" s="1">
        <v>36143</v>
      </c>
      <c r="B555">
        <v>62.216372999999997</v>
      </c>
      <c r="C555">
        <v>64.130050999999995</v>
      </c>
      <c r="D555">
        <v>61.49342</v>
      </c>
      <c r="E555">
        <v>63.258305</v>
      </c>
      <c r="F555">
        <v>16.656057000000001</v>
      </c>
      <c r="G555">
        <v>5601644</v>
      </c>
      <c r="O555" s="8" t="str">
        <f t="shared" si="8"/>
        <v>Profit</v>
      </c>
      <c r="P555" s="6" t="str">
        <f>IF(Table2[[#This Row],[Close]]&gt;Table2[[#This Row],[Open]],"profite","loss")</f>
        <v>profite</v>
      </c>
    </row>
    <row r="556" spans="1:16" x14ac:dyDescent="0.3">
      <c r="A556" s="1">
        <v>36144</v>
      </c>
      <c r="B556">
        <v>62.811729</v>
      </c>
      <c r="C556">
        <v>64.385231000000005</v>
      </c>
      <c r="D556">
        <v>62.726734</v>
      </c>
      <c r="E556">
        <v>63.662272999999999</v>
      </c>
      <c r="F556">
        <v>16.762423999999999</v>
      </c>
      <c r="G556">
        <v>7561634</v>
      </c>
      <c r="O556" s="8" t="str">
        <f t="shared" si="8"/>
        <v>Profit</v>
      </c>
      <c r="P556" s="5" t="str">
        <f>IF(Table2[[#This Row],[Close]]&gt;Table2[[#This Row],[Open]],"profite","loss")</f>
        <v>profite</v>
      </c>
    </row>
    <row r="557" spans="1:16" x14ac:dyDescent="0.3">
      <c r="A557" s="1">
        <v>36145</v>
      </c>
      <c r="B557">
        <v>64.427741999999995</v>
      </c>
      <c r="C557">
        <v>66.277618000000004</v>
      </c>
      <c r="D557">
        <v>64.066260999999997</v>
      </c>
      <c r="E557">
        <v>64.215148999999997</v>
      </c>
      <c r="F557">
        <v>16.907999</v>
      </c>
      <c r="G557">
        <v>7215311</v>
      </c>
      <c r="O557" s="8" t="str">
        <f t="shared" si="8"/>
        <v>Loss</v>
      </c>
      <c r="P557" s="6" t="str">
        <f>IF(Table2[[#This Row],[Close]]&gt;Table2[[#This Row],[Open]],"profite","loss")</f>
        <v>loss</v>
      </c>
    </row>
    <row r="558" spans="1:16" x14ac:dyDescent="0.3">
      <c r="A558" s="1">
        <v>36146</v>
      </c>
      <c r="B558">
        <v>64.193848000000003</v>
      </c>
      <c r="C558">
        <v>65.278274999999994</v>
      </c>
      <c r="D558">
        <v>64.108849000000006</v>
      </c>
      <c r="E558">
        <v>64.257644999999997</v>
      </c>
      <c r="F558">
        <v>16.919188999999999</v>
      </c>
      <c r="G558">
        <v>9129481</v>
      </c>
      <c r="O558" s="8" t="str">
        <f t="shared" si="8"/>
        <v>Profit</v>
      </c>
      <c r="P558" s="5" t="str">
        <f>IF(Table2[[#This Row],[Close]]&gt;Table2[[#This Row],[Open]],"profite","loss")</f>
        <v>profite</v>
      </c>
    </row>
    <row r="559" spans="1:16" x14ac:dyDescent="0.3">
      <c r="A559" s="1">
        <v>36147</v>
      </c>
      <c r="B559">
        <v>64.640418999999994</v>
      </c>
      <c r="C559">
        <v>65.235778999999994</v>
      </c>
      <c r="D559">
        <v>63.407097</v>
      </c>
      <c r="E559">
        <v>64.257644999999997</v>
      </c>
      <c r="F559">
        <v>16.919188999999999</v>
      </c>
      <c r="G559">
        <v>13327254</v>
      </c>
      <c r="O559" s="8" t="str">
        <f t="shared" si="8"/>
        <v>Loss</v>
      </c>
      <c r="P559" s="6" t="str">
        <f>IF(Table2[[#This Row],[Close]]&gt;Table2[[#This Row],[Open]],"profite","loss")</f>
        <v>loss</v>
      </c>
    </row>
    <row r="560" spans="1:16" x14ac:dyDescent="0.3">
      <c r="A560" s="1">
        <v>36150</v>
      </c>
      <c r="B560">
        <v>64.810501000000002</v>
      </c>
      <c r="C560">
        <v>66.107535999999996</v>
      </c>
      <c r="D560">
        <v>64.130050999999995</v>
      </c>
      <c r="E560">
        <v>66.107535999999996</v>
      </c>
      <c r="F560">
        <v>17.406267</v>
      </c>
      <c r="G560">
        <v>8284320</v>
      </c>
      <c r="O560" s="8" t="str">
        <f t="shared" si="8"/>
        <v>Profit</v>
      </c>
      <c r="P560" s="5" t="str">
        <f>IF(Table2[[#This Row],[Close]]&gt;Table2[[#This Row],[Open]],"profite","loss")</f>
        <v>profite</v>
      </c>
    </row>
    <row r="561" spans="1:16" x14ac:dyDescent="0.3">
      <c r="A561" s="1">
        <v>36151</v>
      </c>
      <c r="B561">
        <v>65.703552000000002</v>
      </c>
      <c r="C561">
        <v>66.660392999999999</v>
      </c>
      <c r="D561">
        <v>65.129395000000002</v>
      </c>
      <c r="E561">
        <v>65.746063000000007</v>
      </c>
      <c r="F561">
        <v>17.31109</v>
      </c>
      <c r="G561">
        <v>6524322</v>
      </c>
      <c r="O561" s="8" t="str">
        <f t="shared" si="8"/>
        <v>Profit</v>
      </c>
      <c r="P561" s="6" t="str">
        <f>IF(Table2[[#This Row],[Close]]&gt;Table2[[#This Row],[Open]],"profite","loss")</f>
        <v>profite</v>
      </c>
    </row>
    <row r="562" spans="1:16" x14ac:dyDescent="0.3">
      <c r="A562" s="1">
        <v>36152</v>
      </c>
      <c r="B562">
        <v>65.703552000000002</v>
      </c>
      <c r="C562">
        <v>68.042518999999999</v>
      </c>
      <c r="D562">
        <v>65.490951999999993</v>
      </c>
      <c r="E562">
        <v>67.106964000000005</v>
      </c>
      <c r="F562">
        <v>17.669422000000001</v>
      </c>
      <c r="G562">
        <v>6381271</v>
      </c>
      <c r="O562" s="8" t="str">
        <f t="shared" si="8"/>
        <v>Profit</v>
      </c>
      <c r="P562" s="5" t="str">
        <f>IF(Table2[[#This Row],[Close]]&gt;Table2[[#This Row],[Open]],"profite","loss")</f>
        <v>profite</v>
      </c>
    </row>
    <row r="563" spans="1:16" x14ac:dyDescent="0.3">
      <c r="A563" s="1">
        <v>36153</v>
      </c>
      <c r="B563">
        <v>67.106964000000005</v>
      </c>
      <c r="C563">
        <v>67.106964000000005</v>
      </c>
      <c r="D563">
        <v>67.106964000000005</v>
      </c>
      <c r="E563">
        <v>67.106964000000005</v>
      </c>
      <c r="F563">
        <v>17.669422000000001</v>
      </c>
      <c r="G563">
        <v>0</v>
      </c>
      <c r="O563" s="8" t="str">
        <f t="shared" si="8"/>
        <v>No Change</v>
      </c>
      <c r="P563" s="6" t="str">
        <f>IF(Table2[[#This Row],[Close]]&gt;Table2[[#This Row],[Open]],"profite","loss")</f>
        <v>loss</v>
      </c>
    </row>
    <row r="564" spans="1:16" x14ac:dyDescent="0.3">
      <c r="A564" s="1">
        <v>36154</v>
      </c>
      <c r="B564">
        <v>67.106964000000005</v>
      </c>
      <c r="C564">
        <v>67.106964000000005</v>
      </c>
      <c r="D564">
        <v>67.106964000000005</v>
      </c>
      <c r="E564">
        <v>67.106964000000005</v>
      </c>
      <c r="F564">
        <v>17.669422000000001</v>
      </c>
      <c r="G564">
        <v>0</v>
      </c>
      <c r="O564" s="8" t="str">
        <f t="shared" si="8"/>
        <v>No Change</v>
      </c>
      <c r="P564" s="5" t="str">
        <f>IF(Table2[[#This Row],[Close]]&gt;Table2[[#This Row],[Open]],"profite","loss")</f>
        <v>loss</v>
      </c>
    </row>
    <row r="565" spans="1:16" x14ac:dyDescent="0.3">
      <c r="A565" s="1">
        <v>36157</v>
      </c>
      <c r="B565">
        <v>67.596024</v>
      </c>
      <c r="C565">
        <v>71.402107000000001</v>
      </c>
      <c r="D565">
        <v>67.553436000000005</v>
      </c>
      <c r="E565">
        <v>70.742942999999997</v>
      </c>
      <c r="F565">
        <v>18.626781000000001</v>
      </c>
      <c r="G565">
        <v>7013054</v>
      </c>
      <c r="O565" s="8" t="str">
        <f t="shared" si="8"/>
        <v>Profit</v>
      </c>
      <c r="P565" s="6" t="str">
        <f>IF(Table2[[#This Row],[Close]]&gt;Table2[[#This Row],[Open]],"profite","loss")</f>
        <v>profite</v>
      </c>
    </row>
    <row r="566" spans="1:16" x14ac:dyDescent="0.3">
      <c r="A566" s="1">
        <v>36158</v>
      </c>
      <c r="B566">
        <v>70.509063999999995</v>
      </c>
      <c r="C566">
        <v>70.891823000000002</v>
      </c>
      <c r="D566">
        <v>69.786109999999994</v>
      </c>
      <c r="E566">
        <v>70.190085999999994</v>
      </c>
      <c r="F566">
        <v>18.481204999999999</v>
      </c>
      <c r="G566">
        <v>3648585</v>
      </c>
      <c r="O566" s="8" t="str">
        <f t="shared" si="8"/>
        <v>Loss</v>
      </c>
      <c r="P566" s="5" t="str">
        <f>IF(Table2[[#This Row],[Close]]&gt;Table2[[#This Row],[Open]],"profite","loss")</f>
        <v>loss</v>
      </c>
    </row>
    <row r="567" spans="1:16" x14ac:dyDescent="0.3">
      <c r="A567" s="1">
        <v>36159</v>
      </c>
      <c r="B567">
        <v>70.679152999999999</v>
      </c>
      <c r="C567">
        <v>71.444610999999995</v>
      </c>
      <c r="D567">
        <v>69.530922000000004</v>
      </c>
      <c r="E567">
        <v>69.530922000000004</v>
      </c>
      <c r="F567">
        <v>18.307652999999998</v>
      </c>
      <c r="G567">
        <v>2972183</v>
      </c>
      <c r="O567" s="8" t="str">
        <f t="shared" si="8"/>
        <v>Loss</v>
      </c>
      <c r="P567" s="6" t="str">
        <f>IF(Table2[[#This Row],[Close]]&gt;Table2[[#This Row],[Open]],"profite","loss")</f>
        <v>loss</v>
      </c>
    </row>
    <row r="568" spans="1:16" x14ac:dyDescent="0.3">
      <c r="A568" s="1">
        <v>36160</v>
      </c>
      <c r="B568">
        <v>69.530922000000004</v>
      </c>
      <c r="C568">
        <v>69.530922000000004</v>
      </c>
      <c r="D568">
        <v>69.530922000000004</v>
      </c>
      <c r="E568">
        <v>69.530922000000004</v>
      </c>
      <c r="F568">
        <v>18.307652999999998</v>
      </c>
      <c r="G568">
        <v>0</v>
      </c>
      <c r="O568" s="8" t="str">
        <f t="shared" si="8"/>
        <v>No Change</v>
      </c>
      <c r="P568" s="5" t="str">
        <f>IF(Table2[[#This Row],[Close]]&gt;Table2[[#This Row],[Open]],"profite","loss")</f>
        <v>loss</v>
      </c>
    </row>
    <row r="569" spans="1:16" x14ac:dyDescent="0.3">
      <c r="A569" s="1">
        <v>36161</v>
      </c>
      <c r="B569">
        <v>69.530922000000004</v>
      </c>
      <c r="C569">
        <v>69.530922000000004</v>
      </c>
      <c r="D569">
        <v>69.530922000000004</v>
      </c>
      <c r="E569">
        <v>69.530922000000004</v>
      </c>
      <c r="F569">
        <v>18.307652999999998</v>
      </c>
      <c r="G569">
        <v>0</v>
      </c>
      <c r="O569" s="8" t="str">
        <f t="shared" si="8"/>
        <v>No Change</v>
      </c>
      <c r="P569" s="6" t="str">
        <f>IF(Table2[[#This Row],[Close]]&gt;Table2[[#This Row],[Open]],"profite","loss")</f>
        <v>loss</v>
      </c>
    </row>
    <row r="570" spans="1:16" x14ac:dyDescent="0.3">
      <c r="A570" s="1">
        <v>36164</v>
      </c>
      <c r="B570">
        <v>69.035042000000004</v>
      </c>
      <c r="C570">
        <v>73.817588999999998</v>
      </c>
      <c r="D570">
        <v>68.369643999999994</v>
      </c>
      <c r="E570">
        <v>72.777901</v>
      </c>
      <c r="F570">
        <v>19.162586000000001</v>
      </c>
      <c r="G570">
        <v>4805616</v>
      </c>
      <c r="O570" s="8" t="str">
        <f t="shared" si="8"/>
        <v>Profit</v>
      </c>
      <c r="P570" s="5" t="str">
        <f>IF(Table2[[#This Row],[Close]]&gt;Table2[[#This Row],[Open]],"profite","loss")</f>
        <v>profite</v>
      </c>
    </row>
    <row r="571" spans="1:16" x14ac:dyDescent="0.3">
      <c r="A571" s="1">
        <v>36165</v>
      </c>
      <c r="B571">
        <v>71.862983999999997</v>
      </c>
      <c r="C571">
        <v>73.776000999999994</v>
      </c>
      <c r="D571">
        <v>71.613456999999997</v>
      </c>
      <c r="E571">
        <v>72.179046999999997</v>
      </c>
      <c r="F571">
        <v>19.004908</v>
      </c>
      <c r="G571">
        <v>4254356</v>
      </c>
      <c r="O571" s="8" t="str">
        <f t="shared" si="8"/>
        <v>Profit</v>
      </c>
      <c r="P571" s="6" t="str">
        <f>IF(Table2[[#This Row],[Close]]&gt;Table2[[#This Row],[Open]],"profite","loss")</f>
        <v>profite</v>
      </c>
    </row>
    <row r="572" spans="1:16" x14ac:dyDescent="0.3">
      <c r="A572" s="1">
        <v>36166</v>
      </c>
      <c r="B572">
        <v>74.857269000000002</v>
      </c>
      <c r="C572">
        <v>77.269340999999997</v>
      </c>
      <c r="D572">
        <v>74.275047000000001</v>
      </c>
      <c r="E572">
        <v>76.944962000000004</v>
      </c>
      <c r="F572">
        <v>20.259785000000001</v>
      </c>
      <c r="G572">
        <v>4965739</v>
      </c>
      <c r="O572" s="8" t="str">
        <f t="shared" si="8"/>
        <v>Profit</v>
      </c>
      <c r="P572" s="5" t="str">
        <f>IF(Table2[[#This Row],[Close]]&gt;Table2[[#This Row],[Open]],"profite","loss")</f>
        <v>profite</v>
      </c>
    </row>
    <row r="573" spans="1:16" x14ac:dyDescent="0.3">
      <c r="A573" s="1">
        <v>36167</v>
      </c>
      <c r="B573">
        <v>77.452324000000004</v>
      </c>
      <c r="C573">
        <v>77.768387000000004</v>
      </c>
      <c r="D573">
        <v>74.191872000000004</v>
      </c>
      <c r="E573">
        <v>75.938545000000005</v>
      </c>
      <c r="F573">
        <v>19.994793000000001</v>
      </c>
      <c r="G573">
        <v>6149097</v>
      </c>
      <c r="O573" s="8" t="str">
        <f t="shared" si="8"/>
        <v>Loss</v>
      </c>
      <c r="P573" s="6" t="str">
        <f>IF(Table2[[#This Row],[Close]]&gt;Table2[[#This Row],[Open]],"profite","loss")</f>
        <v>loss</v>
      </c>
    </row>
    <row r="574" spans="1:16" x14ac:dyDescent="0.3">
      <c r="A574" s="1">
        <v>36168</v>
      </c>
      <c r="B574">
        <v>76.437591999999995</v>
      </c>
      <c r="C574">
        <v>77.976326</v>
      </c>
      <c r="D574">
        <v>75.697333999999998</v>
      </c>
      <c r="E574">
        <v>77.061401000000004</v>
      </c>
      <c r="F574">
        <v>20.290447</v>
      </c>
      <c r="G574">
        <v>4124191</v>
      </c>
      <c r="O574" s="8" t="str">
        <f t="shared" si="8"/>
        <v>Profit</v>
      </c>
      <c r="P574" s="5" t="str">
        <f>IF(Table2[[#This Row],[Close]]&gt;Table2[[#This Row],[Open]],"profite","loss")</f>
        <v>profite</v>
      </c>
    </row>
    <row r="575" spans="1:16" x14ac:dyDescent="0.3">
      <c r="A575" s="1">
        <v>36171</v>
      </c>
      <c r="B575">
        <v>77.435692000000003</v>
      </c>
      <c r="C575">
        <v>78.350609000000006</v>
      </c>
      <c r="D575">
        <v>76.104896999999994</v>
      </c>
      <c r="E575">
        <v>76.354416000000001</v>
      </c>
      <c r="F575">
        <v>20.104296000000001</v>
      </c>
      <c r="G575">
        <v>3085808</v>
      </c>
      <c r="O575" s="8" t="str">
        <f t="shared" si="8"/>
        <v>Loss</v>
      </c>
      <c r="P575" s="6" t="str">
        <f>IF(Table2[[#This Row],[Close]]&gt;Table2[[#This Row],[Open]],"profite","loss")</f>
        <v>loss</v>
      </c>
    </row>
    <row r="576" spans="1:16" x14ac:dyDescent="0.3">
      <c r="A576" s="1">
        <v>36172</v>
      </c>
      <c r="B576">
        <v>76.770294000000007</v>
      </c>
      <c r="C576">
        <v>77.219436999999999</v>
      </c>
      <c r="D576">
        <v>75.273148000000006</v>
      </c>
      <c r="E576">
        <v>75.689018000000004</v>
      </c>
      <c r="F576">
        <v>19.929089000000001</v>
      </c>
      <c r="G576">
        <v>4133764</v>
      </c>
      <c r="O576" s="8" t="str">
        <f t="shared" si="8"/>
        <v>Loss</v>
      </c>
      <c r="P576" s="5" t="str">
        <f>IF(Table2[[#This Row],[Close]]&gt;Table2[[#This Row],[Open]],"profite","loss")</f>
        <v>loss</v>
      </c>
    </row>
    <row r="577" spans="1:16" x14ac:dyDescent="0.3">
      <c r="A577" s="1">
        <v>36173</v>
      </c>
      <c r="B577">
        <v>75.065207999999998</v>
      </c>
      <c r="C577">
        <v>75.106796000000003</v>
      </c>
      <c r="D577">
        <v>70.124626000000006</v>
      </c>
      <c r="E577">
        <v>71.779808000000003</v>
      </c>
      <c r="F577">
        <v>18.899794</v>
      </c>
      <c r="G577">
        <v>6606635</v>
      </c>
      <c r="O577" s="8" t="str">
        <f t="shared" si="8"/>
        <v>Loss</v>
      </c>
      <c r="P577" s="6" t="str">
        <f>IF(Table2[[#This Row],[Close]]&gt;Table2[[#This Row],[Open]],"profite","loss")</f>
        <v>loss</v>
      </c>
    </row>
    <row r="578" spans="1:16" x14ac:dyDescent="0.3">
      <c r="A578" s="1">
        <v>36174</v>
      </c>
      <c r="B578">
        <v>73.609650000000002</v>
      </c>
      <c r="C578">
        <v>75.189971999999997</v>
      </c>
      <c r="D578">
        <v>72.370345999999998</v>
      </c>
      <c r="E578">
        <v>71.779808000000003</v>
      </c>
      <c r="F578">
        <v>18.899794</v>
      </c>
      <c r="G578">
        <v>5419259</v>
      </c>
      <c r="O578" s="8" t="str">
        <f t="shared" si="8"/>
        <v>Loss</v>
      </c>
      <c r="P578" s="5" t="str">
        <f>IF(Table2[[#This Row],[Close]]&gt;Table2[[#This Row],[Open]],"profite","loss")</f>
        <v>loss</v>
      </c>
    </row>
    <row r="579" spans="1:16" x14ac:dyDescent="0.3">
      <c r="A579" s="1">
        <v>36175</v>
      </c>
      <c r="B579">
        <v>72.112503000000004</v>
      </c>
      <c r="C579">
        <v>75.181656000000004</v>
      </c>
      <c r="D579">
        <v>70.698532</v>
      </c>
      <c r="E579">
        <v>74.940444999999997</v>
      </c>
      <c r="F579">
        <v>19.731997</v>
      </c>
      <c r="G579">
        <v>6019200</v>
      </c>
      <c r="O579" s="8" t="str">
        <f t="shared" ref="O579:O642" si="9">IF(E579&gt;B579,"Profit",IF(E579&lt;B579,"Loss","No Change"))</f>
        <v>Profit</v>
      </c>
      <c r="P579" s="6" t="str">
        <f>IF(Table2[[#This Row],[Close]]&gt;Table2[[#This Row],[Open]],"profite","loss")</f>
        <v>profite</v>
      </c>
    </row>
    <row r="580" spans="1:16" x14ac:dyDescent="0.3">
      <c r="A580" s="1">
        <v>36178</v>
      </c>
      <c r="B580">
        <v>76.104896999999994</v>
      </c>
      <c r="C580">
        <v>76.271240000000006</v>
      </c>
      <c r="D580">
        <v>74.940444999999997</v>
      </c>
      <c r="E580">
        <v>75.896957</v>
      </c>
      <c r="F580">
        <v>19.983847000000001</v>
      </c>
      <c r="G580">
        <v>2519091</v>
      </c>
      <c r="O580" s="8" t="str">
        <f t="shared" si="9"/>
        <v>Loss</v>
      </c>
      <c r="P580" s="5" t="str">
        <f>IF(Table2[[#This Row],[Close]]&gt;Table2[[#This Row],[Open]],"profite","loss")</f>
        <v>loss</v>
      </c>
    </row>
    <row r="581" spans="1:16" x14ac:dyDescent="0.3">
      <c r="A581" s="1">
        <v>36179</v>
      </c>
      <c r="B581">
        <v>76.021720999999999</v>
      </c>
      <c r="C581">
        <v>76.346100000000007</v>
      </c>
      <c r="D581">
        <v>74.191872000000004</v>
      </c>
      <c r="E581">
        <v>74.857269000000002</v>
      </c>
      <c r="F581">
        <v>19.710093000000001</v>
      </c>
      <c r="G581">
        <v>3014293</v>
      </c>
      <c r="O581" s="8" t="str">
        <f t="shared" si="9"/>
        <v>Loss</v>
      </c>
      <c r="P581" s="6" t="str">
        <f>IF(Table2[[#This Row],[Close]]&gt;Table2[[#This Row],[Open]],"profite","loss")</f>
        <v>loss</v>
      </c>
    </row>
    <row r="582" spans="1:16" x14ac:dyDescent="0.3">
      <c r="A582" s="1">
        <v>36180</v>
      </c>
      <c r="B582">
        <v>76.354416000000001</v>
      </c>
      <c r="C582">
        <v>77.136261000000005</v>
      </c>
      <c r="D582">
        <v>75.522666999999998</v>
      </c>
      <c r="E582">
        <v>76.936638000000002</v>
      </c>
      <c r="F582">
        <v>20.257598999999999</v>
      </c>
      <c r="G582">
        <v>3300447</v>
      </c>
      <c r="O582" s="8" t="str">
        <f t="shared" si="9"/>
        <v>Profit</v>
      </c>
      <c r="P582" s="5" t="str">
        <f>IF(Table2[[#This Row],[Close]]&gt;Table2[[#This Row],[Open]],"profite","loss")</f>
        <v>profite</v>
      </c>
    </row>
    <row r="583" spans="1:16" x14ac:dyDescent="0.3">
      <c r="A583" s="1">
        <v>36181</v>
      </c>
      <c r="B583">
        <v>76.113213000000002</v>
      </c>
      <c r="C583">
        <v>77.560447999999994</v>
      </c>
      <c r="D583">
        <v>75.314734999999999</v>
      </c>
      <c r="E583">
        <v>76.504135000000005</v>
      </c>
      <c r="F583">
        <v>20.143713000000002</v>
      </c>
      <c r="G583">
        <v>3198789</v>
      </c>
      <c r="O583" s="8" t="str">
        <f t="shared" si="9"/>
        <v>Profit</v>
      </c>
      <c r="P583" s="6" t="str">
        <f>IF(Table2[[#This Row],[Close]]&gt;Table2[[#This Row],[Open]],"profite","loss")</f>
        <v>profite</v>
      </c>
    </row>
    <row r="584" spans="1:16" x14ac:dyDescent="0.3">
      <c r="A584" s="1">
        <v>36182</v>
      </c>
      <c r="B584">
        <v>75.314734999999999</v>
      </c>
      <c r="C584">
        <v>75.481078999999994</v>
      </c>
      <c r="D584">
        <v>73.193779000000006</v>
      </c>
      <c r="E584">
        <v>76.504135000000005</v>
      </c>
      <c r="F584">
        <v>20.143713000000002</v>
      </c>
      <c r="G584">
        <v>3283912</v>
      </c>
      <c r="O584" s="8" t="str">
        <f t="shared" si="9"/>
        <v>Profit</v>
      </c>
      <c r="P584" s="5" t="str">
        <f>IF(Table2[[#This Row],[Close]]&gt;Table2[[#This Row],[Open]],"profite","loss")</f>
        <v>profite</v>
      </c>
    </row>
    <row r="585" spans="1:16" x14ac:dyDescent="0.3">
      <c r="A585" s="1">
        <v>36185</v>
      </c>
      <c r="B585">
        <v>73.426665999999997</v>
      </c>
      <c r="C585">
        <v>73.601333999999994</v>
      </c>
      <c r="D585">
        <v>71.904572000000002</v>
      </c>
      <c r="E585">
        <v>73.360123000000002</v>
      </c>
      <c r="F585">
        <v>19.315892999999999</v>
      </c>
      <c r="G585">
        <v>2731161</v>
      </c>
      <c r="O585" s="8" t="str">
        <f t="shared" si="9"/>
        <v>Loss</v>
      </c>
      <c r="P585" s="6" t="str">
        <f>IF(Table2[[#This Row],[Close]]&gt;Table2[[#This Row],[Open]],"profite","loss")</f>
        <v>loss</v>
      </c>
    </row>
    <row r="586" spans="1:16" x14ac:dyDescent="0.3">
      <c r="A586" s="1">
        <v>36186</v>
      </c>
      <c r="B586">
        <v>74.275047000000001</v>
      </c>
      <c r="C586">
        <v>74.649338</v>
      </c>
      <c r="D586">
        <v>73.193779000000006</v>
      </c>
      <c r="E586">
        <v>73.900763999999995</v>
      </c>
      <c r="F586">
        <v>19.458241999999998</v>
      </c>
      <c r="G586">
        <v>2276848</v>
      </c>
      <c r="O586" s="8" t="str">
        <f t="shared" si="9"/>
        <v>Loss</v>
      </c>
      <c r="P586" s="5" t="str">
        <f>IF(Table2[[#This Row],[Close]]&gt;Table2[[#This Row],[Open]],"profite","loss")</f>
        <v>loss</v>
      </c>
    </row>
    <row r="587" spans="1:16" x14ac:dyDescent="0.3">
      <c r="A587" s="1">
        <v>36187</v>
      </c>
      <c r="B587">
        <v>74.857269000000002</v>
      </c>
      <c r="C587">
        <v>75.664069999999995</v>
      </c>
      <c r="D587">
        <v>74.441399000000004</v>
      </c>
      <c r="E587">
        <v>74.857269000000002</v>
      </c>
      <c r="F587">
        <v>19.710093000000001</v>
      </c>
      <c r="G587">
        <v>2840602</v>
      </c>
      <c r="O587" s="8" t="str">
        <f t="shared" si="9"/>
        <v>No Change</v>
      </c>
      <c r="P587" s="6" t="str">
        <f>IF(Table2[[#This Row],[Close]]&gt;Table2[[#This Row],[Open]],"profite","loss")</f>
        <v>loss</v>
      </c>
    </row>
    <row r="588" spans="1:16" x14ac:dyDescent="0.3">
      <c r="A588" s="1">
        <v>36188</v>
      </c>
      <c r="B588">
        <v>74.108695999999995</v>
      </c>
      <c r="C588">
        <v>76.021720999999999</v>
      </c>
      <c r="D588">
        <v>73.526473999999993</v>
      </c>
      <c r="E588">
        <v>75.189971999999997</v>
      </c>
      <c r="F588">
        <v>19.797692999999999</v>
      </c>
      <c r="G588">
        <v>3120186</v>
      </c>
      <c r="O588" s="8" t="str">
        <f t="shared" si="9"/>
        <v>Profit</v>
      </c>
      <c r="P588" s="5" t="str">
        <f>IF(Table2[[#This Row],[Close]]&gt;Table2[[#This Row],[Open]],"profite","loss")</f>
        <v>profite</v>
      </c>
    </row>
    <row r="589" spans="1:16" x14ac:dyDescent="0.3">
      <c r="A589" s="1">
        <v>36189</v>
      </c>
      <c r="B589">
        <v>75.689018000000004</v>
      </c>
      <c r="C589">
        <v>76.770294000000007</v>
      </c>
      <c r="D589">
        <v>75.580894000000001</v>
      </c>
      <c r="E589">
        <v>76.470862999999994</v>
      </c>
      <c r="F589">
        <v>20.134954</v>
      </c>
      <c r="G589">
        <v>3102542</v>
      </c>
      <c r="O589" s="8" t="str">
        <f t="shared" si="9"/>
        <v>Profit</v>
      </c>
      <c r="P589" s="6" t="str">
        <f>IF(Table2[[#This Row],[Close]]&gt;Table2[[#This Row],[Open]],"profite","loss")</f>
        <v>profite</v>
      </c>
    </row>
    <row r="590" spans="1:16" x14ac:dyDescent="0.3">
      <c r="A590" s="1">
        <v>36192</v>
      </c>
      <c r="B590">
        <v>76.920006000000001</v>
      </c>
      <c r="C590">
        <v>77.169533000000001</v>
      </c>
      <c r="D590">
        <v>76.271240000000006</v>
      </c>
      <c r="E590">
        <v>76.628890999999996</v>
      </c>
      <c r="F590">
        <v>20.176565</v>
      </c>
      <c r="G590">
        <v>3494678</v>
      </c>
      <c r="O590" s="8" t="str">
        <f t="shared" si="9"/>
        <v>Loss</v>
      </c>
      <c r="P590" s="5" t="str">
        <f>IF(Table2[[#This Row],[Close]]&gt;Table2[[#This Row],[Open]],"profite","loss")</f>
        <v>loss</v>
      </c>
    </row>
    <row r="591" spans="1:16" x14ac:dyDescent="0.3">
      <c r="A591" s="1">
        <v>36193</v>
      </c>
      <c r="B591">
        <v>76.104896999999994</v>
      </c>
      <c r="C591">
        <v>76.562354999999997</v>
      </c>
      <c r="D591">
        <v>74.857269000000002</v>
      </c>
      <c r="E591">
        <v>75.689018000000004</v>
      </c>
      <c r="F591">
        <v>19.929089000000001</v>
      </c>
      <c r="G591">
        <v>2318303</v>
      </c>
      <c r="O591" s="8" t="str">
        <f t="shared" si="9"/>
        <v>Loss</v>
      </c>
      <c r="P591" s="6" t="str">
        <f>IF(Table2[[#This Row],[Close]]&gt;Table2[[#This Row],[Open]],"profite","loss")</f>
        <v>loss</v>
      </c>
    </row>
    <row r="592" spans="1:16" x14ac:dyDescent="0.3">
      <c r="A592" s="1">
        <v>36194</v>
      </c>
      <c r="B592">
        <v>75.214920000000006</v>
      </c>
      <c r="C592">
        <v>75.597526999999999</v>
      </c>
      <c r="D592">
        <v>74.358222999999995</v>
      </c>
      <c r="E592">
        <v>75.065207999999998</v>
      </c>
      <c r="F592">
        <v>19.764847</v>
      </c>
      <c r="G592">
        <v>2385394</v>
      </c>
      <c r="O592" s="8" t="str">
        <f t="shared" si="9"/>
        <v>Loss</v>
      </c>
      <c r="P592" s="5" t="str">
        <f>IF(Table2[[#This Row],[Close]]&gt;Table2[[#This Row],[Open]],"profite","loss")</f>
        <v>loss</v>
      </c>
    </row>
    <row r="593" spans="1:16" x14ac:dyDescent="0.3">
      <c r="A593" s="1">
        <v>36195</v>
      </c>
      <c r="B593">
        <v>75.689018000000004</v>
      </c>
      <c r="C593">
        <v>75.855369999999994</v>
      </c>
      <c r="D593">
        <v>73.360123000000002</v>
      </c>
      <c r="E593">
        <v>73.526473999999993</v>
      </c>
      <c r="F593">
        <v>19.359694000000001</v>
      </c>
      <c r="G593">
        <v>2188790</v>
      </c>
      <c r="O593" s="8" t="str">
        <f t="shared" si="9"/>
        <v>Loss</v>
      </c>
      <c r="P593" s="6" t="str">
        <f>IF(Table2[[#This Row],[Close]]&gt;Table2[[#This Row],[Open]],"profite","loss")</f>
        <v>loss</v>
      </c>
    </row>
    <row r="594" spans="1:16" x14ac:dyDescent="0.3">
      <c r="A594" s="1">
        <v>36196</v>
      </c>
      <c r="B594">
        <v>72.694725000000005</v>
      </c>
      <c r="C594">
        <v>74.241776000000002</v>
      </c>
      <c r="D594">
        <v>71.862983999999997</v>
      </c>
      <c r="E594">
        <v>73.276955000000001</v>
      </c>
      <c r="F594">
        <v>19.293997000000001</v>
      </c>
      <c r="G594">
        <v>3377184</v>
      </c>
      <c r="O594" s="8" t="str">
        <f t="shared" si="9"/>
        <v>Profit</v>
      </c>
      <c r="P594" s="5" t="str">
        <f>IF(Table2[[#This Row],[Close]]&gt;Table2[[#This Row],[Open]],"profite","loss")</f>
        <v>profite</v>
      </c>
    </row>
    <row r="595" spans="1:16" x14ac:dyDescent="0.3">
      <c r="A595" s="1">
        <v>36199</v>
      </c>
      <c r="B595">
        <v>73.942352</v>
      </c>
      <c r="C595">
        <v>74.02552</v>
      </c>
      <c r="D595">
        <v>71.447104999999993</v>
      </c>
      <c r="E595">
        <v>71.746536000000006</v>
      </c>
      <c r="F595">
        <v>18.891029</v>
      </c>
      <c r="G595">
        <v>2153254</v>
      </c>
      <c r="O595" s="8" t="str">
        <f t="shared" si="9"/>
        <v>Loss</v>
      </c>
      <c r="P595" s="6" t="str">
        <f>IF(Table2[[#This Row],[Close]]&gt;Table2[[#This Row],[Open]],"profite","loss")</f>
        <v>loss</v>
      </c>
    </row>
    <row r="596" spans="1:16" x14ac:dyDescent="0.3">
      <c r="A596" s="1">
        <v>36200</v>
      </c>
      <c r="B596">
        <v>72.195678999999998</v>
      </c>
      <c r="C596">
        <v>72.769585000000006</v>
      </c>
      <c r="D596">
        <v>68.743926999999999</v>
      </c>
      <c r="E596">
        <v>68.868690000000001</v>
      </c>
      <c r="F596">
        <v>18.133291</v>
      </c>
      <c r="G596">
        <v>3391888</v>
      </c>
      <c r="O596" s="8" t="str">
        <f t="shared" si="9"/>
        <v>Loss</v>
      </c>
      <c r="P596" s="5" t="str">
        <f>IF(Table2[[#This Row],[Close]]&gt;Table2[[#This Row],[Open]],"profite","loss")</f>
        <v>loss</v>
      </c>
    </row>
    <row r="597" spans="1:16" x14ac:dyDescent="0.3">
      <c r="A597" s="1">
        <v>36201</v>
      </c>
      <c r="B597">
        <v>67.962081999999995</v>
      </c>
      <c r="C597">
        <v>69.276245000000003</v>
      </c>
      <c r="D597">
        <v>67.870590000000007</v>
      </c>
      <c r="E597">
        <v>68.868690000000001</v>
      </c>
      <c r="F597">
        <v>18.133291</v>
      </c>
      <c r="G597">
        <v>3484544</v>
      </c>
      <c r="O597" s="8" t="str">
        <f t="shared" si="9"/>
        <v>Profit</v>
      </c>
      <c r="P597" s="6" t="str">
        <f>IF(Table2[[#This Row],[Close]]&gt;Table2[[#This Row],[Open]],"profite","loss")</f>
        <v>profite</v>
      </c>
    </row>
    <row r="598" spans="1:16" x14ac:dyDescent="0.3">
      <c r="A598" s="1">
        <v>36202</v>
      </c>
      <c r="B598">
        <v>69.384377000000001</v>
      </c>
      <c r="C598">
        <v>70.107994000000005</v>
      </c>
      <c r="D598">
        <v>68.535988000000003</v>
      </c>
      <c r="E598">
        <v>69.450912000000002</v>
      </c>
      <c r="F598">
        <v>18.286587000000001</v>
      </c>
      <c r="G598">
        <v>2116434</v>
      </c>
      <c r="O598" s="8" t="str">
        <f t="shared" si="9"/>
        <v>Profit</v>
      </c>
      <c r="P598" s="5" t="str">
        <f>IF(Table2[[#This Row],[Close]]&gt;Table2[[#This Row],[Open]],"profite","loss")</f>
        <v>profite</v>
      </c>
    </row>
    <row r="599" spans="1:16" x14ac:dyDescent="0.3">
      <c r="A599" s="1">
        <v>36203</v>
      </c>
      <c r="B599">
        <v>70.407425000000003</v>
      </c>
      <c r="C599">
        <v>71.114410000000007</v>
      </c>
      <c r="D599">
        <v>69.450912000000002</v>
      </c>
      <c r="E599">
        <v>69.450912000000002</v>
      </c>
      <c r="F599">
        <v>18.286587000000001</v>
      </c>
      <c r="G599">
        <v>2653745</v>
      </c>
      <c r="O599" s="8" t="str">
        <f t="shared" si="9"/>
        <v>Loss</v>
      </c>
      <c r="P599" s="6" t="str">
        <f>IF(Table2[[#This Row],[Close]]&gt;Table2[[#This Row],[Open]],"profite","loss")</f>
        <v>loss</v>
      </c>
    </row>
    <row r="600" spans="1:16" x14ac:dyDescent="0.3">
      <c r="A600" s="1">
        <v>36206</v>
      </c>
      <c r="B600">
        <v>69.201385000000002</v>
      </c>
      <c r="C600">
        <v>70.823295999999999</v>
      </c>
      <c r="D600">
        <v>68.511039999999994</v>
      </c>
      <c r="E600">
        <v>70.698532</v>
      </c>
      <c r="F600">
        <v>18.615089000000001</v>
      </c>
      <c r="G600">
        <v>1893090</v>
      </c>
      <c r="O600" s="8" t="str">
        <f t="shared" si="9"/>
        <v>Profit</v>
      </c>
      <c r="P600" s="5" t="str">
        <f>IF(Table2[[#This Row],[Close]]&gt;Table2[[#This Row],[Open]],"profite","loss")</f>
        <v>profite</v>
      </c>
    </row>
    <row r="601" spans="1:16" x14ac:dyDescent="0.3">
      <c r="A601" s="1">
        <v>36207</v>
      </c>
      <c r="B601">
        <v>71.322342000000006</v>
      </c>
      <c r="C601">
        <v>71.322342000000006</v>
      </c>
      <c r="D601">
        <v>70.033134000000004</v>
      </c>
      <c r="E601">
        <v>70.615356000000006</v>
      </c>
      <c r="F601">
        <v>18.593187</v>
      </c>
      <c r="G601">
        <v>1748433</v>
      </c>
      <c r="O601" s="8" t="str">
        <f t="shared" si="9"/>
        <v>Loss</v>
      </c>
      <c r="P601" s="6" t="str">
        <f>IF(Table2[[#This Row],[Close]]&gt;Table2[[#This Row],[Open]],"profite","loss")</f>
        <v>loss</v>
      </c>
    </row>
    <row r="602" spans="1:16" x14ac:dyDescent="0.3">
      <c r="A602" s="1">
        <v>36208</v>
      </c>
      <c r="B602">
        <v>70.324248999999995</v>
      </c>
      <c r="C602">
        <v>70.615356000000006</v>
      </c>
      <c r="D602">
        <v>69.450912000000002</v>
      </c>
      <c r="E602">
        <v>69.999863000000005</v>
      </c>
      <c r="F602">
        <v>18.431125999999999</v>
      </c>
      <c r="G602">
        <v>1947117</v>
      </c>
      <c r="O602" s="8" t="str">
        <f t="shared" si="9"/>
        <v>Loss</v>
      </c>
      <c r="P602" s="5" t="str">
        <f>IF(Table2[[#This Row],[Close]]&gt;Table2[[#This Row],[Open]],"profite","loss")</f>
        <v>loss</v>
      </c>
    </row>
    <row r="603" spans="1:16" x14ac:dyDescent="0.3">
      <c r="A603" s="1">
        <v>36209</v>
      </c>
      <c r="B603">
        <v>69.866791000000006</v>
      </c>
      <c r="C603">
        <v>71.488692999999998</v>
      </c>
      <c r="D603">
        <v>69.492500000000007</v>
      </c>
      <c r="E603">
        <v>71.405518000000001</v>
      </c>
      <c r="F603">
        <v>18.801241000000001</v>
      </c>
      <c r="G603">
        <v>2105290</v>
      </c>
      <c r="O603" s="8" t="str">
        <f t="shared" si="9"/>
        <v>Profit</v>
      </c>
      <c r="P603" s="6" t="str">
        <f>IF(Table2[[#This Row],[Close]]&gt;Table2[[#This Row],[Open]],"profite","loss")</f>
        <v>profite</v>
      </c>
    </row>
    <row r="604" spans="1:16" x14ac:dyDescent="0.3">
      <c r="A604" s="1">
        <v>36210</v>
      </c>
      <c r="B604">
        <v>71.571869000000007</v>
      </c>
      <c r="C604">
        <v>72.070914999999999</v>
      </c>
      <c r="D604">
        <v>70.540503999999999</v>
      </c>
      <c r="E604">
        <v>70.698532</v>
      </c>
      <c r="F604">
        <v>18.615089000000001</v>
      </c>
      <c r="G604">
        <v>2156025</v>
      </c>
      <c r="O604" s="8" t="str">
        <f t="shared" si="9"/>
        <v>Loss</v>
      </c>
      <c r="P604" s="5" t="str">
        <f>IF(Table2[[#This Row],[Close]]&gt;Table2[[#This Row],[Open]],"profite","loss")</f>
        <v>loss</v>
      </c>
    </row>
    <row r="605" spans="1:16" x14ac:dyDescent="0.3">
      <c r="A605" s="1">
        <v>36213</v>
      </c>
      <c r="B605">
        <v>71.114410000000007</v>
      </c>
      <c r="C605">
        <v>72.154090999999994</v>
      </c>
      <c r="D605">
        <v>70.698532</v>
      </c>
      <c r="E605">
        <v>71.946151999999998</v>
      </c>
      <c r="F605">
        <v>18.943587999999998</v>
      </c>
      <c r="G605">
        <v>2351937</v>
      </c>
      <c r="O605" s="8" t="str">
        <f t="shared" si="9"/>
        <v>Profit</v>
      </c>
      <c r="P605" s="6" t="str">
        <f>IF(Table2[[#This Row],[Close]]&gt;Table2[[#This Row],[Open]],"profite","loss")</f>
        <v>profite</v>
      </c>
    </row>
    <row r="606" spans="1:16" x14ac:dyDescent="0.3">
      <c r="A606" s="1">
        <v>36214</v>
      </c>
      <c r="B606">
        <v>72.694725000000005</v>
      </c>
      <c r="C606">
        <v>74.940444999999997</v>
      </c>
      <c r="D606">
        <v>72.536697000000004</v>
      </c>
      <c r="E606">
        <v>74.441399000000004</v>
      </c>
      <c r="F606">
        <v>19.600591999999999</v>
      </c>
      <c r="G606">
        <v>3424907</v>
      </c>
      <c r="O606" s="8" t="str">
        <f t="shared" si="9"/>
        <v>Profit</v>
      </c>
      <c r="P606" s="5" t="str">
        <f>IF(Table2[[#This Row],[Close]]&gt;Table2[[#This Row],[Open]],"profite","loss")</f>
        <v>profite</v>
      </c>
    </row>
    <row r="607" spans="1:16" x14ac:dyDescent="0.3">
      <c r="A607" s="1">
        <v>36215</v>
      </c>
      <c r="B607">
        <v>73.526473999999993</v>
      </c>
      <c r="C607">
        <v>76.437591999999995</v>
      </c>
      <c r="D607">
        <v>72.819489000000004</v>
      </c>
      <c r="E607">
        <v>76.188064999999995</v>
      </c>
      <c r="F607">
        <v>20.060497000000002</v>
      </c>
      <c r="G607">
        <v>4655203</v>
      </c>
      <c r="O607" s="8" t="str">
        <f t="shared" si="9"/>
        <v>Profit</v>
      </c>
      <c r="P607" s="6" t="str">
        <f>IF(Table2[[#This Row],[Close]]&gt;Table2[[#This Row],[Open]],"profite","loss")</f>
        <v>profite</v>
      </c>
    </row>
    <row r="608" spans="1:16" x14ac:dyDescent="0.3">
      <c r="A608" s="1">
        <v>36216</v>
      </c>
      <c r="B608">
        <v>75.730605999999995</v>
      </c>
      <c r="C608">
        <v>76.645531000000005</v>
      </c>
      <c r="D608">
        <v>72.154090999999994</v>
      </c>
      <c r="E608">
        <v>72.362030000000004</v>
      </c>
      <c r="F608">
        <v>19.053093000000001</v>
      </c>
      <c r="G608">
        <v>4542943</v>
      </c>
      <c r="O608" s="8" t="str">
        <f t="shared" si="9"/>
        <v>Loss</v>
      </c>
      <c r="P608" s="5" t="str">
        <f>IF(Table2[[#This Row],[Close]]&gt;Table2[[#This Row],[Open]],"profite","loss")</f>
        <v>loss</v>
      </c>
    </row>
    <row r="609" spans="1:16" x14ac:dyDescent="0.3">
      <c r="A609" s="1">
        <v>36217</v>
      </c>
      <c r="B609">
        <v>72.362030000000004</v>
      </c>
      <c r="C609">
        <v>72.769585000000006</v>
      </c>
      <c r="D609">
        <v>70.382469</v>
      </c>
      <c r="E609">
        <v>72.362030000000004</v>
      </c>
      <c r="F609">
        <v>19.053093000000001</v>
      </c>
      <c r="G609">
        <v>3461269</v>
      </c>
      <c r="O609" s="8" t="str">
        <f t="shared" si="9"/>
        <v>No Change</v>
      </c>
      <c r="P609" s="6" t="str">
        <f>IF(Table2[[#This Row],[Close]]&gt;Table2[[#This Row],[Open]],"profite","loss")</f>
        <v>loss</v>
      </c>
    </row>
    <row r="610" spans="1:16" x14ac:dyDescent="0.3">
      <c r="A610" s="1">
        <v>36220</v>
      </c>
      <c r="B610">
        <v>71.031234999999995</v>
      </c>
      <c r="C610">
        <v>71.821395999999993</v>
      </c>
      <c r="D610">
        <v>68.211608999999996</v>
      </c>
      <c r="E610">
        <v>69.201385000000002</v>
      </c>
      <c r="F610">
        <v>18.220886</v>
      </c>
      <c r="G610">
        <v>2508258</v>
      </c>
      <c r="O610" s="8" t="str">
        <f t="shared" si="9"/>
        <v>Loss</v>
      </c>
      <c r="P610" s="5" t="str">
        <f>IF(Table2[[#This Row],[Close]]&gt;Table2[[#This Row],[Open]],"profite","loss")</f>
        <v>loss</v>
      </c>
    </row>
    <row r="611" spans="1:16" x14ac:dyDescent="0.3">
      <c r="A611" s="1">
        <v>36221</v>
      </c>
      <c r="B611">
        <v>69.450912000000002</v>
      </c>
      <c r="C611">
        <v>70.033134000000004</v>
      </c>
      <c r="D611">
        <v>68.303100999999998</v>
      </c>
      <c r="E611">
        <v>69.201385000000002</v>
      </c>
      <c r="F611">
        <v>18.220886</v>
      </c>
      <c r="G611">
        <v>3394086</v>
      </c>
      <c r="O611" s="8" t="str">
        <f t="shared" si="9"/>
        <v>Loss</v>
      </c>
      <c r="P611" s="6" t="str">
        <f>IF(Table2[[#This Row],[Close]]&gt;Table2[[#This Row],[Open]],"profite","loss")</f>
        <v>loss</v>
      </c>
    </row>
    <row r="612" spans="1:16" x14ac:dyDescent="0.3">
      <c r="A612" s="1">
        <v>36222</v>
      </c>
      <c r="B612">
        <v>69.242973000000006</v>
      </c>
      <c r="C612">
        <v>69.284560999999997</v>
      </c>
      <c r="D612">
        <v>66.398398999999998</v>
      </c>
      <c r="E612">
        <v>66.423355000000001</v>
      </c>
      <c r="F612">
        <v>17.489422000000001</v>
      </c>
      <c r="G612">
        <v>4186903</v>
      </c>
      <c r="O612" s="8" t="str">
        <f t="shared" si="9"/>
        <v>Loss</v>
      </c>
      <c r="P612" s="5" t="str">
        <f>IF(Table2[[#This Row],[Close]]&gt;Table2[[#This Row],[Open]],"profite","loss")</f>
        <v>loss</v>
      </c>
    </row>
    <row r="613" spans="1:16" x14ac:dyDescent="0.3">
      <c r="A613" s="1">
        <v>36223</v>
      </c>
      <c r="B613">
        <v>66.622971000000007</v>
      </c>
      <c r="C613">
        <v>68.494408000000007</v>
      </c>
      <c r="D613">
        <v>64.626778000000002</v>
      </c>
      <c r="E613">
        <v>67.413132000000004</v>
      </c>
      <c r="F613">
        <v>17.750033999999999</v>
      </c>
      <c r="G613">
        <v>3907936</v>
      </c>
      <c r="O613" s="8" t="str">
        <f t="shared" si="9"/>
        <v>Profit</v>
      </c>
      <c r="P613" s="6" t="str">
        <f>IF(Table2[[#This Row],[Close]]&gt;Table2[[#This Row],[Open]],"profite","loss")</f>
        <v>profite</v>
      </c>
    </row>
    <row r="614" spans="1:16" x14ac:dyDescent="0.3">
      <c r="A614" s="1">
        <v>36224</v>
      </c>
      <c r="B614">
        <v>68.702338999999995</v>
      </c>
      <c r="C614">
        <v>70.232758000000004</v>
      </c>
      <c r="D614">
        <v>67.995354000000006</v>
      </c>
      <c r="E614">
        <v>69.700439000000003</v>
      </c>
      <c r="F614">
        <v>18.352293</v>
      </c>
      <c r="G614">
        <v>3203806</v>
      </c>
      <c r="O614" s="8" t="str">
        <f t="shared" si="9"/>
        <v>Profit</v>
      </c>
      <c r="P614" s="5" t="str">
        <f>IF(Table2[[#This Row],[Close]]&gt;Table2[[#This Row],[Open]],"profite","loss")</f>
        <v>profite</v>
      </c>
    </row>
    <row r="615" spans="1:16" x14ac:dyDescent="0.3">
      <c r="A615" s="1">
        <v>36227</v>
      </c>
      <c r="B615">
        <v>70.116309999999999</v>
      </c>
      <c r="C615">
        <v>70.407425000000003</v>
      </c>
      <c r="D615">
        <v>68.036941999999996</v>
      </c>
      <c r="E615">
        <v>68.785515000000004</v>
      </c>
      <c r="F615">
        <v>18.111388999999999</v>
      </c>
      <c r="G615">
        <v>1694109</v>
      </c>
      <c r="O615" s="8" t="str">
        <f t="shared" si="9"/>
        <v>Loss</v>
      </c>
      <c r="P615" s="6" t="str">
        <f>IF(Table2[[#This Row],[Close]]&gt;Table2[[#This Row],[Open]],"profite","loss")</f>
        <v>loss</v>
      </c>
    </row>
    <row r="616" spans="1:16" x14ac:dyDescent="0.3">
      <c r="A616" s="1">
        <v>36228</v>
      </c>
      <c r="B616">
        <v>68.452811999999994</v>
      </c>
      <c r="C616">
        <v>69.700439000000003</v>
      </c>
      <c r="D616">
        <v>67.870590000000007</v>
      </c>
      <c r="E616">
        <v>68.619163999999998</v>
      </c>
      <c r="F616">
        <v>18.067585000000001</v>
      </c>
      <c r="G616">
        <v>1716923</v>
      </c>
      <c r="O616" s="8" t="str">
        <f t="shared" si="9"/>
        <v>Profit</v>
      </c>
      <c r="P616" s="5" t="str">
        <f>IF(Table2[[#This Row],[Close]]&gt;Table2[[#This Row],[Open]],"profite","loss")</f>
        <v>profite</v>
      </c>
    </row>
    <row r="617" spans="1:16" x14ac:dyDescent="0.3">
      <c r="A617" s="1">
        <v>36229</v>
      </c>
      <c r="B617">
        <v>68.203293000000002</v>
      </c>
      <c r="C617">
        <v>68.211608999999996</v>
      </c>
      <c r="D617">
        <v>66.165512000000007</v>
      </c>
      <c r="E617">
        <v>66.539794999999998</v>
      </c>
      <c r="F617">
        <v>17.520081000000001</v>
      </c>
      <c r="G617">
        <v>2791578</v>
      </c>
      <c r="O617" s="8" t="str">
        <f t="shared" si="9"/>
        <v>Loss</v>
      </c>
      <c r="P617" s="6" t="str">
        <f>IF(Table2[[#This Row],[Close]]&gt;Table2[[#This Row],[Open]],"profite","loss")</f>
        <v>loss</v>
      </c>
    </row>
    <row r="618" spans="1:16" x14ac:dyDescent="0.3">
      <c r="A618" s="1">
        <v>36230</v>
      </c>
      <c r="B618">
        <v>67.205192999999994</v>
      </c>
      <c r="C618">
        <v>67.205192999999994</v>
      </c>
      <c r="D618">
        <v>65.982529</v>
      </c>
      <c r="E618">
        <v>66.864182</v>
      </c>
      <c r="F618">
        <v>17.605494</v>
      </c>
      <c r="G618">
        <v>2381407</v>
      </c>
      <c r="O618" s="8" t="str">
        <f t="shared" si="9"/>
        <v>Loss</v>
      </c>
      <c r="P618" s="5" t="str">
        <f>IF(Table2[[#This Row],[Close]]&gt;Table2[[#This Row],[Open]],"profite","loss")</f>
        <v>loss</v>
      </c>
    </row>
    <row r="619" spans="1:16" x14ac:dyDescent="0.3">
      <c r="A619" s="1">
        <v>36231</v>
      </c>
      <c r="B619">
        <v>71.530281000000002</v>
      </c>
      <c r="C619">
        <v>72.195678999999998</v>
      </c>
      <c r="D619">
        <v>69.284560999999997</v>
      </c>
      <c r="E619">
        <v>66.864182</v>
      </c>
      <c r="F619">
        <v>17.605494</v>
      </c>
      <c r="G619">
        <v>4896737</v>
      </c>
      <c r="O619" s="8" t="str">
        <f t="shared" si="9"/>
        <v>Loss</v>
      </c>
      <c r="P619" s="6" t="str">
        <f>IF(Table2[[#This Row],[Close]]&gt;Table2[[#This Row],[Open]],"profite","loss")</f>
        <v>loss</v>
      </c>
    </row>
    <row r="620" spans="1:16" x14ac:dyDescent="0.3">
      <c r="A620" s="1">
        <v>36234</v>
      </c>
      <c r="B620">
        <v>70.282661000000004</v>
      </c>
      <c r="C620">
        <v>71.530281000000002</v>
      </c>
      <c r="D620">
        <v>69.866791000000006</v>
      </c>
      <c r="E620">
        <v>70.490600999999998</v>
      </c>
      <c r="F620">
        <v>18.560334999999998</v>
      </c>
      <c r="G620">
        <v>2808093</v>
      </c>
      <c r="O620" s="8" t="str">
        <f t="shared" si="9"/>
        <v>Profit</v>
      </c>
      <c r="P620" s="5" t="str">
        <f>IF(Table2[[#This Row],[Close]]&gt;Table2[[#This Row],[Open]],"profite","loss")</f>
        <v>profite</v>
      </c>
    </row>
    <row r="621" spans="1:16" x14ac:dyDescent="0.3">
      <c r="A621" s="1">
        <v>36235</v>
      </c>
      <c r="B621">
        <v>70.573768999999999</v>
      </c>
      <c r="C621">
        <v>71.696631999999994</v>
      </c>
      <c r="D621">
        <v>70.282661000000004</v>
      </c>
      <c r="E621">
        <v>71.289078000000003</v>
      </c>
      <c r="F621">
        <v>18.770579999999999</v>
      </c>
      <c r="G621">
        <v>2468606</v>
      </c>
      <c r="O621" s="8" t="str">
        <f t="shared" si="9"/>
        <v>Profit</v>
      </c>
      <c r="P621" s="6" t="str">
        <f>IF(Table2[[#This Row],[Close]]&gt;Table2[[#This Row],[Open]],"profite","loss")</f>
        <v>profite</v>
      </c>
    </row>
    <row r="622" spans="1:16" x14ac:dyDescent="0.3">
      <c r="A622" s="1">
        <v>36236</v>
      </c>
      <c r="B622">
        <v>70.449012999999994</v>
      </c>
      <c r="C622">
        <v>71.821395999999993</v>
      </c>
      <c r="D622">
        <v>70.074721999999994</v>
      </c>
      <c r="E622">
        <v>70.124626000000006</v>
      </c>
      <c r="F622">
        <v>18.463979999999999</v>
      </c>
      <c r="G622">
        <v>2772835</v>
      </c>
      <c r="O622" s="8" t="str">
        <f t="shared" si="9"/>
        <v>Loss</v>
      </c>
      <c r="P622" s="5" t="str">
        <f>IF(Table2[[#This Row],[Close]]&gt;Table2[[#This Row],[Open]],"profite","loss")</f>
        <v>loss</v>
      </c>
    </row>
    <row r="623" spans="1:16" x14ac:dyDescent="0.3">
      <c r="A623" s="1">
        <v>36237</v>
      </c>
      <c r="B623">
        <v>69.991546999999997</v>
      </c>
      <c r="C623">
        <v>71.280761999999996</v>
      </c>
      <c r="D623">
        <v>69.742026999999993</v>
      </c>
      <c r="E623">
        <v>70.399101000000002</v>
      </c>
      <c r="F623">
        <v>18.536246999999999</v>
      </c>
      <c r="G623">
        <v>2039411</v>
      </c>
      <c r="O623" s="8" t="str">
        <f t="shared" si="9"/>
        <v>Profit</v>
      </c>
      <c r="P623" s="6" t="str">
        <f>IF(Table2[[#This Row],[Close]]&gt;Table2[[#This Row],[Open]],"profite","loss")</f>
        <v>profite</v>
      </c>
    </row>
    <row r="624" spans="1:16" x14ac:dyDescent="0.3">
      <c r="A624" s="1">
        <v>36238</v>
      </c>
      <c r="B624">
        <v>71.006279000000006</v>
      </c>
      <c r="C624">
        <v>72.985839999999996</v>
      </c>
      <c r="D624">
        <v>70.698532</v>
      </c>
      <c r="E624">
        <v>71.197586000000001</v>
      </c>
      <c r="F624">
        <v>18.746486999999998</v>
      </c>
      <c r="G624">
        <v>20039374</v>
      </c>
      <c r="O624" s="8" t="str">
        <f t="shared" si="9"/>
        <v>Profit</v>
      </c>
      <c r="P624" s="5" t="str">
        <f>IF(Table2[[#This Row],[Close]]&gt;Table2[[#This Row],[Open]],"profite","loss")</f>
        <v>profite</v>
      </c>
    </row>
    <row r="625" spans="1:16" x14ac:dyDescent="0.3">
      <c r="A625" s="1">
        <v>36241</v>
      </c>
      <c r="B625">
        <v>70.615356000000006</v>
      </c>
      <c r="C625">
        <v>71.280761999999996</v>
      </c>
      <c r="D625">
        <v>69.742026999999993</v>
      </c>
      <c r="E625">
        <v>69.783614999999998</v>
      </c>
      <c r="F625">
        <v>18.374189000000001</v>
      </c>
      <c r="G625">
        <v>3065215</v>
      </c>
      <c r="O625" s="8" t="str">
        <f t="shared" si="9"/>
        <v>Loss</v>
      </c>
      <c r="P625" s="6" t="str">
        <f>IF(Table2[[#This Row],[Close]]&gt;Table2[[#This Row],[Open]],"profite","loss")</f>
        <v>loss</v>
      </c>
    </row>
    <row r="626" spans="1:16" x14ac:dyDescent="0.3">
      <c r="A626" s="1">
        <v>36242</v>
      </c>
      <c r="B626">
        <v>69.450912000000002</v>
      </c>
      <c r="C626">
        <v>69.700439000000003</v>
      </c>
      <c r="D626">
        <v>67.080437000000003</v>
      </c>
      <c r="E626">
        <v>67.205192999999994</v>
      </c>
      <c r="F626">
        <v>17.695285999999999</v>
      </c>
      <c r="G626">
        <v>2569918</v>
      </c>
      <c r="O626" s="8" t="str">
        <f t="shared" si="9"/>
        <v>Loss</v>
      </c>
      <c r="P626" s="5" t="str">
        <f>IF(Table2[[#This Row],[Close]]&gt;Table2[[#This Row],[Open]],"profite","loss")</f>
        <v>loss</v>
      </c>
    </row>
    <row r="627" spans="1:16" x14ac:dyDescent="0.3">
      <c r="A627" s="1">
        <v>36243</v>
      </c>
      <c r="B627">
        <v>66.123924000000002</v>
      </c>
      <c r="C627">
        <v>66.198775999999995</v>
      </c>
      <c r="D627">
        <v>64.635093999999995</v>
      </c>
      <c r="E627">
        <v>65.084236000000004</v>
      </c>
      <c r="F627">
        <v>17.136831000000001</v>
      </c>
      <c r="G627">
        <v>4567364</v>
      </c>
      <c r="O627" s="8" t="str">
        <f t="shared" si="9"/>
        <v>Loss</v>
      </c>
      <c r="P627" s="6" t="str">
        <f>IF(Table2[[#This Row],[Close]]&gt;Table2[[#This Row],[Open]],"profite","loss")</f>
        <v>loss</v>
      </c>
    </row>
    <row r="628" spans="1:16" x14ac:dyDescent="0.3">
      <c r="A628" s="1">
        <v>36244</v>
      </c>
      <c r="B628">
        <v>65.708045999999996</v>
      </c>
      <c r="C628">
        <v>66.622971000000007</v>
      </c>
      <c r="D628">
        <v>65.192368000000002</v>
      </c>
      <c r="E628">
        <v>66.331862999999998</v>
      </c>
      <c r="F628">
        <v>17.465336000000001</v>
      </c>
      <c r="G628">
        <v>4668516</v>
      </c>
      <c r="O628" s="8" t="str">
        <f t="shared" si="9"/>
        <v>Profit</v>
      </c>
      <c r="P628" s="5" t="str">
        <f>IF(Table2[[#This Row],[Close]]&gt;Table2[[#This Row],[Open]],"profite","loss")</f>
        <v>profite</v>
      </c>
    </row>
    <row r="629" spans="1:16" x14ac:dyDescent="0.3">
      <c r="A629" s="1">
        <v>36245</v>
      </c>
      <c r="B629">
        <v>66.781006000000005</v>
      </c>
      <c r="C629">
        <v>67.238463999999993</v>
      </c>
      <c r="D629">
        <v>65.425255000000007</v>
      </c>
      <c r="E629">
        <v>66.539794999999998</v>
      </c>
      <c r="F629">
        <v>17.520081000000001</v>
      </c>
      <c r="G629">
        <v>3658289</v>
      </c>
      <c r="O629" s="8" t="str">
        <f t="shared" si="9"/>
        <v>Loss</v>
      </c>
      <c r="P629" s="6" t="str">
        <f>IF(Table2[[#This Row],[Close]]&gt;Table2[[#This Row],[Open]],"profite","loss")</f>
        <v>loss</v>
      </c>
    </row>
    <row r="630" spans="1:16" x14ac:dyDescent="0.3">
      <c r="A630" s="1">
        <v>36248</v>
      </c>
      <c r="B630">
        <v>66.539794999999998</v>
      </c>
      <c r="C630">
        <v>67.654342999999997</v>
      </c>
      <c r="D630">
        <v>65.999161000000001</v>
      </c>
      <c r="E630">
        <v>67.354911999999999</v>
      </c>
      <c r="F630">
        <v>17.734707</v>
      </c>
      <c r="G630">
        <v>1713463</v>
      </c>
      <c r="O630" s="8" t="str">
        <f t="shared" si="9"/>
        <v>Profit</v>
      </c>
      <c r="P630" s="5" t="str">
        <f>IF(Table2[[#This Row],[Close]]&gt;Table2[[#This Row],[Open]],"profite","loss")</f>
        <v>profite</v>
      </c>
    </row>
    <row r="631" spans="1:16" x14ac:dyDescent="0.3">
      <c r="A631" s="1">
        <v>36249</v>
      </c>
      <c r="B631">
        <v>67.787414999999996</v>
      </c>
      <c r="C631">
        <v>67.912177999999997</v>
      </c>
      <c r="D631">
        <v>65.749634</v>
      </c>
      <c r="E631">
        <v>66.356812000000005</v>
      </c>
      <c r="F631">
        <v>17.471907000000002</v>
      </c>
      <c r="G631">
        <v>2026093</v>
      </c>
      <c r="O631" s="8" t="str">
        <f t="shared" si="9"/>
        <v>Loss</v>
      </c>
      <c r="P631" s="6" t="str">
        <f>IF(Table2[[#This Row],[Close]]&gt;Table2[[#This Row],[Open]],"profite","loss")</f>
        <v>loss</v>
      </c>
    </row>
    <row r="632" spans="1:16" x14ac:dyDescent="0.3">
      <c r="A632" s="1">
        <v>36250</v>
      </c>
      <c r="B632">
        <v>66.955673000000004</v>
      </c>
      <c r="C632">
        <v>67.238463999999993</v>
      </c>
      <c r="D632">
        <v>66.157195999999999</v>
      </c>
      <c r="E632">
        <v>66.997260999999995</v>
      </c>
      <c r="F632">
        <v>17.640533000000001</v>
      </c>
      <c r="G632">
        <v>2161933</v>
      </c>
      <c r="O632" s="8" t="str">
        <f t="shared" si="9"/>
        <v>Profit</v>
      </c>
      <c r="P632" s="5" t="str">
        <f>IF(Table2[[#This Row],[Close]]&gt;Table2[[#This Row],[Open]],"profite","loss")</f>
        <v>profite</v>
      </c>
    </row>
    <row r="633" spans="1:16" x14ac:dyDescent="0.3">
      <c r="A633" s="1">
        <v>36251</v>
      </c>
      <c r="B633">
        <v>66.622971000000007</v>
      </c>
      <c r="C633">
        <v>68.868690000000001</v>
      </c>
      <c r="D633">
        <v>65.666466</v>
      </c>
      <c r="E633">
        <v>67.995354000000006</v>
      </c>
      <c r="F633">
        <v>17.903337000000001</v>
      </c>
      <c r="G633">
        <v>2642130</v>
      </c>
      <c r="O633" s="8" t="str">
        <f t="shared" si="9"/>
        <v>Profit</v>
      </c>
      <c r="P633" s="6" t="str">
        <f>IF(Table2[[#This Row],[Close]]&gt;Table2[[#This Row],[Open]],"profite","loss")</f>
        <v>profite</v>
      </c>
    </row>
    <row r="634" spans="1:16" x14ac:dyDescent="0.3">
      <c r="A634" s="1">
        <v>36252</v>
      </c>
      <c r="B634">
        <v>67.995354000000006</v>
      </c>
      <c r="C634">
        <v>67.995354000000006</v>
      </c>
      <c r="D634">
        <v>67.995354000000006</v>
      </c>
      <c r="E634">
        <v>67.995354000000006</v>
      </c>
      <c r="F634">
        <v>17.903337000000001</v>
      </c>
      <c r="G634">
        <v>0</v>
      </c>
      <c r="O634" s="8" t="str">
        <f t="shared" si="9"/>
        <v>No Change</v>
      </c>
      <c r="P634" s="5" t="str">
        <f>IF(Table2[[#This Row],[Close]]&gt;Table2[[#This Row],[Open]],"profite","loss")</f>
        <v>loss</v>
      </c>
    </row>
    <row r="635" spans="1:16" x14ac:dyDescent="0.3">
      <c r="A635" s="1">
        <v>36255</v>
      </c>
      <c r="B635">
        <v>67.995354000000006</v>
      </c>
      <c r="C635">
        <v>67.995354000000006</v>
      </c>
      <c r="D635">
        <v>67.995354000000006</v>
      </c>
      <c r="E635">
        <v>67.995354000000006</v>
      </c>
      <c r="F635">
        <v>17.903337000000001</v>
      </c>
      <c r="G635">
        <v>0</v>
      </c>
      <c r="O635" s="8" t="str">
        <f t="shared" si="9"/>
        <v>No Change</v>
      </c>
      <c r="P635" s="6" t="str">
        <f>IF(Table2[[#This Row],[Close]]&gt;Table2[[#This Row],[Open]],"profite","loss")</f>
        <v>loss</v>
      </c>
    </row>
    <row r="636" spans="1:16" x14ac:dyDescent="0.3">
      <c r="A636" s="1">
        <v>36256</v>
      </c>
      <c r="B636">
        <v>69.101578000000003</v>
      </c>
      <c r="C636">
        <v>70.640311999999994</v>
      </c>
      <c r="D636">
        <v>68.702338999999995</v>
      </c>
      <c r="E636">
        <v>70.207802000000001</v>
      </c>
      <c r="F636">
        <v>18.485880000000002</v>
      </c>
      <c r="G636">
        <v>3676175</v>
      </c>
      <c r="O636" s="8" t="str">
        <f t="shared" si="9"/>
        <v>Profit</v>
      </c>
      <c r="P636" s="5" t="str">
        <f>IF(Table2[[#This Row],[Close]]&gt;Table2[[#This Row],[Open]],"profite","loss")</f>
        <v>profite</v>
      </c>
    </row>
    <row r="637" spans="1:16" x14ac:dyDescent="0.3">
      <c r="A637" s="1">
        <v>36257</v>
      </c>
      <c r="B637">
        <v>69.517455999999996</v>
      </c>
      <c r="C637">
        <v>70.016502000000003</v>
      </c>
      <c r="D637">
        <v>69.267928999999995</v>
      </c>
      <c r="E637">
        <v>69.409324999999995</v>
      </c>
      <c r="F637">
        <v>18.275639000000002</v>
      </c>
      <c r="G637">
        <v>3311638</v>
      </c>
      <c r="O637" s="8" t="str">
        <f t="shared" si="9"/>
        <v>Loss</v>
      </c>
      <c r="P637" s="6" t="str">
        <f>IF(Table2[[#This Row],[Close]]&gt;Table2[[#This Row],[Open]],"profite","loss")</f>
        <v>loss</v>
      </c>
    </row>
    <row r="638" spans="1:16" x14ac:dyDescent="0.3">
      <c r="A638" s="1">
        <v>36258</v>
      </c>
      <c r="B638">
        <v>69.783614999999998</v>
      </c>
      <c r="C638">
        <v>71.280761999999996</v>
      </c>
      <c r="D638">
        <v>69.442595999999995</v>
      </c>
      <c r="E638">
        <v>69.409324999999995</v>
      </c>
      <c r="F638">
        <v>18.275639000000002</v>
      </c>
      <c r="G638">
        <v>4672331</v>
      </c>
      <c r="O638" s="8" t="str">
        <f t="shared" si="9"/>
        <v>Loss</v>
      </c>
      <c r="P638" s="5" t="str">
        <f>IF(Table2[[#This Row],[Close]]&gt;Table2[[#This Row],[Open]],"profite","loss")</f>
        <v>loss</v>
      </c>
    </row>
    <row r="639" spans="1:16" x14ac:dyDescent="0.3">
      <c r="A639" s="1">
        <v>36259</v>
      </c>
      <c r="B639">
        <v>71.862983999999997</v>
      </c>
      <c r="C639">
        <v>73.276955000000001</v>
      </c>
      <c r="D639">
        <v>71.779808000000003</v>
      </c>
      <c r="E639">
        <v>70.690216000000007</v>
      </c>
      <c r="F639">
        <v>18.6129</v>
      </c>
      <c r="G639">
        <v>5295169</v>
      </c>
      <c r="O639" s="8" t="str">
        <f t="shared" si="9"/>
        <v>Loss</v>
      </c>
      <c r="P639" s="6" t="str">
        <f>IF(Table2[[#This Row],[Close]]&gt;Table2[[#This Row],[Open]],"profite","loss")</f>
        <v>loss</v>
      </c>
    </row>
    <row r="640" spans="1:16" x14ac:dyDescent="0.3">
      <c r="A640" s="1">
        <v>36262</v>
      </c>
      <c r="B640">
        <v>72.154090999999994</v>
      </c>
      <c r="C640">
        <v>73.942352</v>
      </c>
      <c r="D640">
        <v>71.821395999999993</v>
      </c>
      <c r="E640">
        <v>73.825905000000006</v>
      </c>
      <c r="F640">
        <v>19.438534000000001</v>
      </c>
      <c r="G640">
        <v>3511024</v>
      </c>
      <c r="O640" s="8" t="str">
        <f t="shared" si="9"/>
        <v>Profit</v>
      </c>
      <c r="P640" s="5" t="str">
        <f>IF(Table2[[#This Row],[Close]]&gt;Table2[[#This Row],[Open]],"profite","loss")</f>
        <v>profite</v>
      </c>
    </row>
    <row r="641" spans="1:16" x14ac:dyDescent="0.3">
      <c r="A641" s="1">
        <v>36263</v>
      </c>
      <c r="B641">
        <v>74.566162000000006</v>
      </c>
      <c r="C641">
        <v>76.479179000000002</v>
      </c>
      <c r="D641">
        <v>73.875809000000004</v>
      </c>
      <c r="E641">
        <v>73.825905000000006</v>
      </c>
      <c r="F641">
        <v>19.438534000000001</v>
      </c>
      <c r="G641">
        <v>6236618</v>
      </c>
      <c r="O641" s="8" t="str">
        <f t="shared" si="9"/>
        <v>Loss</v>
      </c>
      <c r="P641" s="6" t="str">
        <f>IF(Table2[[#This Row],[Close]]&gt;Table2[[#This Row],[Open]],"profite","loss")</f>
        <v>loss</v>
      </c>
    </row>
    <row r="642" spans="1:16" x14ac:dyDescent="0.3">
      <c r="A642" s="1">
        <v>36264</v>
      </c>
      <c r="B642">
        <v>75.497719000000004</v>
      </c>
      <c r="C642">
        <v>76.021720999999999</v>
      </c>
      <c r="D642">
        <v>74.549521999999996</v>
      </c>
      <c r="E642">
        <v>75.065207999999998</v>
      </c>
      <c r="F642">
        <v>19.764847</v>
      </c>
      <c r="G642">
        <v>4617524</v>
      </c>
      <c r="O642" s="8" t="str">
        <f t="shared" si="9"/>
        <v>Loss</v>
      </c>
      <c r="P642" s="5" t="str">
        <f>IF(Table2[[#This Row],[Close]]&gt;Table2[[#This Row],[Open]],"profite","loss")</f>
        <v>loss</v>
      </c>
    </row>
    <row r="643" spans="1:16" x14ac:dyDescent="0.3">
      <c r="A643" s="1">
        <v>36265</v>
      </c>
      <c r="B643">
        <v>74.383178999999998</v>
      </c>
      <c r="C643">
        <v>75.605842999999993</v>
      </c>
      <c r="D643">
        <v>73.701141000000007</v>
      </c>
      <c r="E643">
        <v>75.065207999999998</v>
      </c>
      <c r="F643">
        <v>19.764847</v>
      </c>
      <c r="G643">
        <v>4639393</v>
      </c>
      <c r="O643" s="8" t="str">
        <f t="shared" ref="O643:O706" si="10">IF(E643&gt;B643,"Profit",IF(E643&lt;B643,"Loss","No Change"))</f>
        <v>Profit</v>
      </c>
      <c r="P643" s="6" t="str">
        <f>IF(Table2[[#This Row],[Close]]&gt;Table2[[#This Row],[Open]],"profite","loss")</f>
        <v>profite</v>
      </c>
    </row>
    <row r="644" spans="1:16" x14ac:dyDescent="0.3">
      <c r="A644" s="1">
        <v>36266</v>
      </c>
      <c r="B644">
        <v>74.449714999999998</v>
      </c>
      <c r="C644">
        <v>75.64743</v>
      </c>
      <c r="D644">
        <v>74.208511000000001</v>
      </c>
      <c r="E644">
        <v>75.065207999999998</v>
      </c>
      <c r="F644">
        <v>19.764847</v>
      </c>
      <c r="G644">
        <v>4607132</v>
      </c>
      <c r="O644" s="8" t="str">
        <f t="shared" si="10"/>
        <v>Profit</v>
      </c>
      <c r="P644" s="5" t="str">
        <f>IF(Table2[[#This Row],[Close]]&gt;Table2[[#This Row],[Open]],"profite","loss")</f>
        <v>profite</v>
      </c>
    </row>
    <row r="645" spans="1:16" x14ac:dyDescent="0.3">
      <c r="A645" s="1">
        <v>36269</v>
      </c>
      <c r="B645">
        <v>75.689018000000004</v>
      </c>
      <c r="C645">
        <v>78.267432999999997</v>
      </c>
      <c r="D645">
        <v>75.397902999999999</v>
      </c>
      <c r="E645">
        <v>75.64743</v>
      </c>
      <c r="F645">
        <v>19.918144000000002</v>
      </c>
      <c r="G645">
        <v>5028248</v>
      </c>
      <c r="O645" s="8" t="str">
        <f t="shared" si="10"/>
        <v>Loss</v>
      </c>
      <c r="P645" s="6" t="str">
        <f>IF(Table2[[#This Row],[Close]]&gt;Table2[[#This Row],[Open]],"profite","loss")</f>
        <v>loss</v>
      </c>
    </row>
    <row r="646" spans="1:16" x14ac:dyDescent="0.3">
      <c r="A646" s="1">
        <v>36270</v>
      </c>
      <c r="B646">
        <v>76.204704000000007</v>
      </c>
      <c r="C646">
        <v>77.884833999999998</v>
      </c>
      <c r="D646">
        <v>75.880318000000003</v>
      </c>
      <c r="E646">
        <v>76.354416000000001</v>
      </c>
      <c r="F646">
        <v>20.104296000000001</v>
      </c>
      <c r="G646">
        <v>3300181</v>
      </c>
      <c r="O646" s="8" t="str">
        <f t="shared" si="10"/>
        <v>Profit</v>
      </c>
      <c r="P646" s="5" t="str">
        <f>IF(Table2[[#This Row],[Close]]&gt;Table2[[#This Row],[Open]],"profite","loss")</f>
        <v>profite</v>
      </c>
    </row>
    <row r="647" spans="1:16" x14ac:dyDescent="0.3">
      <c r="A647" s="1">
        <v>36271</v>
      </c>
      <c r="B647">
        <v>76.104896999999994</v>
      </c>
      <c r="C647">
        <v>77.186165000000003</v>
      </c>
      <c r="D647">
        <v>75.938545000000005</v>
      </c>
      <c r="E647">
        <v>76.271240000000006</v>
      </c>
      <c r="F647">
        <v>20.08239</v>
      </c>
      <c r="G647">
        <v>2266788</v>
      </c>
      <c r="O647" s="8" t="str">
        <f t="shared" si="10"/>
        <v>Profit</v>
      </c>
      <c r="P647" s="6" t="str">
        <f>IF(Table2[[#This Row],[Close]]&gt;Table2[[#This Row],[Open]],"profite","loss")</f>
        <v>profite</v>
      </c>
    </row>
    <row r="648" spans="1:16" x14ac:dyDescent="0.3">
      <c r="A648" s="1">
        <v>36272</v>
      </c>
      <c r="B648">
        <v>76.944962000000004</v>
      </c>
      <c r="C648">
        <v>78.508644000000004</v>
      </c>
      <c r="D648">
        <v>76.720382999999998</v>
      </c>
      <c r="E648">
        <v>77.643623000000005</v>
      </c>
      <c r="F648">
        <v>20.443747999999999</v>
      </c>
      <c r="G648">
        <v>3182541</v>
      </c>
      <c r="O648" s="8" t="str">
        <f t="shared" si="10"/>
        <v>Profit</v>
      </c>
      <c r="P648" s="5" t="str">
        <f>IF(Table2[[#This Row],[Close]]&gt;Table2[[#This Row],[Open]],"profite","loss")</f>
        <v>profite</v>
      </c>
    </row>
    <row r="649" spans="1:16" x14ac:dyDescent="0.3">
      <c r="A649" s="1">
        <v>36273</v>
      </c>
      <c r="B649">
        <v>77.976326</v>
      </c>
      <c r="C649">
        <v>78.600136000000006</v>
      </c>
      <c r="D649">
        <v>76.071624999999997</v>
      </c>
      <c r="E649">
        <v>77.643623000000005</v>
      </c>
      <c r="F649">
        <v>20.443747999999999</v>
      </c>
      <c r="G649">
        <v>2556624</v>
      </c>
      <c r="O649" s="8" t="str">
        <f t="shared" si="10"/>
        <v>Loss</v>
      </c>
      <c r="P649" s="6" t="str">
        <f>IF(Table2[[#This Row],[Close]]&gt;Table2[[#This Row],[Open]],"profite","loss")</f>
        <v>loss</v>
      </c>
    </row>
    <row r="650" spans="1:16" x14ac:dyDescent="0.3">
      <c r="A650" s="1">
        <v>36276</v>
      </c>
      <c r="B650">
        <v>76.936638000000002</v>
      </c>
      <c r="C650">
        <v>78.924515</v>
      </c>
      <c r="D650">
        <v>76.936638000000002</v>
      </c>
      <c r="E650">
        <v>78.550231999999994</v>
      </c>
      <c r="F650">
        <v>20.682461</v>
      </c>
      <c r="G650">
        <v>3110590</v>
      </c>
      <c r="O650" s="8" t="str">
        <f t="shared" si="10"/>
        <v>Profit</v>
      </c>
      <c r="P650" s="5" t="str">
        <f>IF(Table2[[#This Row],[Close]]&gt;Table2[[#This Row],[Open]],"profite","loss")</f>
        <v>profite</v>
      </c>
    </row>
    <row r="651" spans="1:16" x14ac:dyDescent="0.3">
      <c r="A651" s="1">
        <v>36277</v>
      </c>
      <c r="B651">
        <v>78.749847000000003</v>
      </c>
      <c r="C651">
        <v>79.515060000000005</v>
      </c>
      <c r="D651">
        <v>77.893150000000006</v>
      </c>
      <c r="E651">
        <v>78.550231999999994</v>
      </c>
      <c r="F651">
        <v>20.682461</v>
      </c>
      <c r="G651">
        <v>4047186</v>
      </c>
      <c r="O651" s="8" t="str">
        <f t="shared" si="10"/>
        <v>Loss</v>
      </c>
      <c r="P651" s="6" t="str">
        <f>IF(Table2[[#This Row],[Close]]&gt;Table2[[#This Row],[Open]],"profite","loss")</f>
        <v>loss</v>
      </c>
    </row>
    <row r="652" spans="1:16" x14ac:dyDescent="0.3">
      <c r="A652" s="1">
        <v>36278</v>
      </c>
      <c r="B652">
        <v>79.431884999999994</v>
      </c>
      <c r="C652">
        <v>79.673088000000007</v>
      </c>
      <c r="D652">
        <v>76.853461999999993</v>
      </c>
      <c r="E652">
        <v>79.390297000000004</v>
      </c>
      <c r="F652">
        <v>20.903654</v>
      </c>
      <c r="G652">
        <v>4689565</v>
      </c>
      <c r="O652" s="8" t="str">
        <f t="shared" si="10"/>
        <v>Loss</v>
      </c>
      <c r="P652" s="5" t="str">
        <f>IF(Table2[[#This Row],[Close]]&gt;Table2[[#This Row],[Open]],"profite","loss")</f>
        <v>loss</v>
      </c>
    </row>
    <row r="653" spans="1:16" x14ac:dyDescent="0.3">
      <c r="A653" s="1">
        <v>36279</v>
      </c>
      <c r="B653">
        <v>77.751755000000003</v>
      </c>
      <c r="C653">
        <v>77.851562000000001</v>
      </c>
      <c r="D653">
        <v>75.397902999999999</v>
      </c>
      <c r="E653">
        <v>78.184264999999996</v>
      </c>
      <c r="F653">
        <v>20.586099999999998</v>
      </c>
      <c r="G653">
        <v>3266083</v>
      </c>
      <c r="O653" s="8" t="str">
        <f t="shared" si="10"/>
        <v>Profit</v>
      </c>
      <c r="P653" s="6" t="str">
        <f>IF(Table2[[#This Row],[Close]]&gt;Table2[[#This Row],[Open]],"profite","loss")</f>
        <v>profite</v>
      </c>
    </row>
    <row r="654" spans="1:16" x14ac:dyDescent="0.3">
      <c r="A654" s="1">
        <v>36280</v>
      </c>
      <c r="B654">
        <v>76.520767000000006</v>
      </c>
      <c r="C654">
        <v>78.059501999999995</v>
      </c>
      <c r="D654">
        <v>76.520767000000006</v>
      </c>
      <c r="E654">
        <v>76.978226000000006</v>
      </c>
      <c r="F654">
        <v>20.268549</v>
      </c>
      <c r="G654">
        <v>2178276</v>
      </c>
      <c r="O654" s="8" t="str">
        <f t="shared" si="10"/>
        <v>Profit</v>
      </c>
      <c r="P654" s="5" t="str">
        <f>IF(Table2[[#This Row],[Close]]&gt;Table2[[#This Row],[Open]],"profite","loss")</f>
        <v>profite</v>
      </c>
    </row>
    <row r="655" spans="1:16" x14ac:dyDescent="0.3">
      <c r="A655" s="1">
        <v>36283</v>
      </c>
      <c r="B655">
        <v>77.435692000000003</v>
      </c>
      <c r="C655">
        <v>77.918098000000001</v>
      </c>
      <c r="D655">
        <v>76.895049999999998</v>
      </c>
      <c r="E655">
        <v>77.685210999999995</v>
      </c>
      <c r="F655">
        <v>20.454695000000001</v>
      </c>
      <c r="G655">
        <v>1436194</v>
      </c>
      <c r="O655" s="8" t="str">
        <f t="shared" si="10"/>
        <v>Profit</v>
      </c>
      <c r="P655" s="6" t="str">
        <f>IF(Table2[[#This Row],[Close]]&gt;Table2[[#This Row],[Open]],"profite","loss")</f>
        <v>profite</v>
      </c>
    </row>
    <row r="656" spans="1:16" x14ac:dyDescent="0.3">
      <c r="A656" s="1">
        <v>36284</v>
      </c>
      <c r="B656">
        <v>78.017914000000005</v>
      </c>
      <c r="C656">
        <v>78.849663000000007</v>
      </c>
      <c r="D656">
        <v>77.685210999999995</v>
      </c>
      <c r="E656">
        <v>77.352515999999994</v>
      </c>
      <c r="F656">
        <v>20.367101999999999</v>
      </c>
      <c r="G656">
        <v>2787979</v>
      </c>
      <c r="O656" s="8" t="str">
        <f t="shared" si="10"/>
        <v>Loss</v>
      </c>
      <c r="P656" s="5" t="str">
        <f>IF(Table2[[#This Row],[Close]]&gt;Table2[[#This Row],[Open]],"profite","loss")</f>
        <v>loss</v>
      </c>
    </row>
    <row r="657" spans="1:16" x14ac:dyDescent="0.3">
      <c r="A657" s="1">
        <v>36285</v>
      </c>
      <c r="B657">
        <v>77.019813999999997</v>
      </c>
      <c r="C657">
        <v>77.518867</v>
      </c>
      <c r="D657">
        <v>76.104896999999994</v>
      </c>
      <c r="E657">
        <v>78.017914000000005</v>
      </c>
      <c r="F657">
        <v>20.542293999999998</v>
      </c>
      <c r="G657">
        <v>2652374</v>
      </c>
      <c r="O657" s="8" t="str">
        <f t="shared" si="10"/>
        <v>Profit</v>
      </c>
      <c r="P657" s="6" t="str">
        <f>IF(Table2[[#This Row],[Close]]&gt;Table2[[#This Row],[Open]],"profite","loss")</f>
        <v>profite</v>
      </c>
    </row>
    <row r="658" spans="1:16" x14ac:dyDescent="0.3">
      <c r="A658" s="1">
        <v>36286</v>
      </c>
      <c r="B658">
        <v>77.518867</v>
      </c>
      <c r="C658">
        <v>77.934737999999996</v>
      </c>
      <c r="D658">
        <v>77.036452999999995</v>
      </c>
      <c r="E658">
        <v>76.437591999999995</v>
      </c>
      <c r="F658">
        <v>20.126197999999999</v>
      </c>
      <c r="G658">
        <v>5447711</v>
      </c>
      <c r="O658" s="8" t="str">
        <f t="shared" si="10"/>
        <v>Loss</v>
      </c>
      <c r="P658" s="5" t="str">
        <f>IF(Table2[[#This Row],[Close]]&gt;Table2[[#This Row],[Open]],"profite","loss")</f>
        <v>loss</v>
      </c>
    </row>
    <row r="659" spans="1:16" x14ac:dyDescent="0.3">
      <c r="A659" s="1">
        <v>36287</v>
      </c>
      <c r="B659">
        <v>77.144576999999998</v>
      </c>
      <c r="C659">
        <v>77.144576999999998</v>
      </c>
      <c r="D659">
        <v>75.439491000000004</v>
      </c>
      <c r="E659">
        <v>77.394103999999999</v>
      </c>
      <c r="F659">
        <v>20.378048</v>
      </c>
      <c r="G659">
        <v>6931947</v>
      </c>
      <c r="O659" s="8" t="str">
        <f t="shared" si="10"/>
        <v>Profit</v>
      </c>
      <c r="P659" s="6" t="str">
        <f>IF(Table2[[#This Row],[Close]]&gt;Table2[[#This Row],[Open]],"profite","loss")</f>
        <v>profite</v>
      </c>
    </row>
    <row r="660" spans="1:16" x14ac:dyDescent="0.3">
      <c r="A660" s="1">
        <v>36290</v>
      </c>
      <c r="B660">
        <v>75.896957</v>
      </c>
      <c r="C660">
        <v>76.687118999999996</v>
      </c>
      <c r="D660">
        <v>75.023621000000006</v>
      </c>
      <c r="E660">
        <v>76.030036999999993</v>
      </c>
      <c r="F660">
        <v>20.018889999999999</v>
      </c>
      <c r="G660">
        <v>3993529</v>
      </c>
      <c r="O660" s="8" t="str">
        <f t="shared" si="10"/>
        <v>Profit</v>
      </c>
      <c r="P660" s="5" t="str">
        <f>IF(Table2[[#This Row],[Close]]&gt;Table2[[#This Row],[Open]],"profite","loss")</f>
        <v>profite</v>
      </c>
    </row>
    <row r="661" spans="1:16" x14ac:dyDescent="0.3">
      <c r="A661" s="1">
        <v>36291</v>
      </c>
      <c r="B661">
        <v>75.298096000000001</v>
      </c>
      <c r="C661">
        <v>75.772193999999999</v>
      </c>
      <c r="D661">
        <v>74.441399000000004</v>
      </c>
      <c r="E661">
        <v>75.447815000000006</v>
      </c>
      <c r="F661">
        <v>19.865583000000001</v>
      </c>
      <c r="G661">
        <v>2635741</v>
      </c>
      <c r="O661" s="8" t="str">
        <f t="shared" si="10"/>
        <v>Profit</v>
      </c>
      <c r="P661" s="6" t="str">
        <f>IF(Table2[[#This Row],[Close]]&gt;Table2[[#This Row],[Open]],"profite","loss")</f>
        <v>profite</v>
      </c>
    </row>
    <row r="662" spans="1:16" x14ac:dyDescent="0.3">
      <c r="A662" s="1">
        <v>36292</v>
      </c>
      <c r="B662">
        <v>75.955177000000006</v>
      </c>
      <c r="C662">
        <v>76.188064999999995</v>
      </c>
      <c r="D662">
        <v>73.193779000000006</v>
      </c>
      <c r="E662">
        <v>75.689018000000004</v>
      </c>
      <c r="F662">
        <v>19.929089000000001</v>
      </c>
      <c r="G662">
        <v>3095812</v>
      </c>
      <c r="O662" s="8" t="str">
        <f t="shared" si="10"/>
        <v>Loss</v>
      </c>
      <c r="P662" s="5" t="str">
        <f>IF(Table2[[#This Row],[Close]]&gt;Table2[[#This Row],[Open]],"profite","loss")</f>
        <v>loss</v>
      </c>
    </row>
    <row r="663" spans="1:16" x14ac:dyDescent="0.3">
      <c r="A663" s="1">
        <v>36293</v>
      </c>
      <c r="B663">
        <v>75.689018000000004</v>
      </c>
      <c r="C663">
        <v>75.689018000000004</v>
      </c>
      <c r="D663">
        <v>75.689018000000004</v>
      </c>
      <c r="E663">
        <v>75.689018000000004</v>
      </c>
      <c r="F663">
        <v>19.929089000000001</v>
      </c>
      <c r="G663">
        <v>0</v>
      </c>
      <c r="O663" s="8" t="str">
        <f t="shared" si="10"/>
        <v>No Change</v>
      </c>
      <c r="P663" s="6" t="str">
        <f>IF(Table2[[#This Row],[Close]]&gt;Table2[[#This Row],[Open]],"profite","loss")</f>
        <v>loss</v>
      </c>
    </row>
    <row r="664" spans="1:16" x14ac:dyDescent="0.3">
      <c r="A664" s="1">
        <v>36294</v>
      </c>
      <c r="B664">
        <v>75.589211000000006</v>
      </c>
      <c r="C664">
        <v>75.763878000000005</v>
      </c>
      <c r="D664">
        <v>73.692824999999999</v>
      </c>
      <c r="E664">
        <v>74.982033000000001</v>
      </c>
      <c r="F664">
        <v>19.742944999999999</v>
      </c>
      <c r="G664">
        <v>2289099</v>
      </c>
      <c r="O664" s="8" t="str">
        <f t="shared" si="10"/>
        <v>Loss</v>
      </c>
      <c r="P664" s="5" t="str">
        <f>IF(Table2[[#This Row],[Close]]&gt;Table2[[#This Row],[Open]],"profite","loss")</f>
        <v>loss</v>
      </c>
    </row>
    <row r="665" spans="1:16" x14ac:dyDescent="0.3">
      <c r="A665" s="1">
        <v>36297</v>
      </c>
      <c r="B665">
        <v>73.202095</v>
      </c>
      <c r="C665">
        <v>73.484886000000003</v>
      </c>
      <c r="D665">
        <v>71.946151999999998</v>
      </c>
      <c r="E665">
        <v>73.934028999999995</v>
      </c>
      <c r="F665">
        <v>19.466999000000001</v>
      </c>
      <c r="G665">
        <v>3145794</v>
      </c>
      <c r="O665" s="8" t="str">
        <f t="shared" si="10"/>
        <v>Profit</v>
      </c>
      <c r="P665" s="6" t="str">
        <f>IF(Table2[[#This Row],[Close]]&gt;Table2[[#This Row],[Open]],"profite","loss")</f>
        <v>profite</v>
      </c>
    </row>
    <row r="666" spans="1:16" x14ac:dyDescent="0.3">
      <c r="A666" s="1">
        <v>36298</v>
      </c>
      <c r="B666">
        <v>72.445205999999999</v>
      </c>
      <c r="C666">
        <v>74.316635000000005</v>
      </c>
      <c r="D666">
        <v>72.445205999999999</v>
      </c>
      <c r="E666">
        <v>71.996063000000007</v>
      </c>
      <c r="F666">
        <v>18.956734000000001</v>
      </c>
      <c r="G666">
        <v>3553195</v>
      </c>
      <c r="O666" s="8" t="str">
        <f t="shared" si="10"/>
        <v>Loss</v>
      </c>
      <c r="P666" s="5" t="str">
        <f>IF(Table2[[#This Row],[Close]]&gt;Table2[[#This Row],[Open]],"profite","loss")</f>
        <v>loss</v>
      </c>
    </row>
    <row r="667" spans="1:16" x14ac:dyDescent="0.3">
      <c r="A667" s="1">
        <v>36299</v>
      </c>
      <c r="B667">
        <v>72.362030000000004</v>
      </c>
      <c r="C667">
        <v>73.010795999999999</v>
      </c>
      <c r="D667">
        <v>71.879615999999999</v>
      </c>
      <c r="E667">
        <v>74.150283999999999</v>
      </c>
      <c r="F667">
        <v>20.182718000000001</v>
      </c>
      <c r="G667">
        <v>2732818</v>
      </c>
      <c r="O667" s="8" t="str">
        <f t="shared" si="10"/>
        <v>Profit</v>
      </c>
      <c r="P667" s="6" t="str">
        <f>IF(Table2[[#This Row],[Close]]&gt;Table2[[#This Row],[Open]],"profite","loss")</f>
        <v>profite</v>
      </c>
    </row>
    <row r="668" spans="1:16" x14ac:dyDescent="0.3">
      <c r="A668" s="1">
        <v>36300</v>
      </c>
      <c r="B668">
        <v>72.769585000000006</v>
      </c>
      <c r="C668">
        <v>72.935935999999998</v>
      </c>
      <c r="D668">
        <v>71.613456999999997</v>
      </c>
      <c r="E668">
        <v>72.578284999999994</v>
      </c>
      <c r="F668">
        <v>19.754843000000001</v>
      </c>
      <c r="G668">
        <v>1615154</v>
      </c>
      <c r="O668" s="8" t="str">
        <f t="shared" si="10"/>
        <v>Loss</v>
      </c>
      <c r="P668" s="5" t="str">
        <f>IF(Table2[[#This Row],[Close]]&gt;Table2[[#This Row],[Open]],"profite","loss")</f>
        <v>loss</v>
      </c>
    </row>
    <row r="669" spans="1:16" x14ac:dyDescent="0.3">
      <c r="A669" s="1">
        <v>36301</v>
      </c>
      <c r="B669">
        <v>72.420249999999996</v>
      </c>
      <c r="C669">
        <v>72.486794000000003</v>
      </c>
      <c r="D669">
        <v>71.530281000000002</v>
      </c>
      <c r="E669">
        <v>72.520058000000006</v>
      </c>
      <c r="F669">
        <v>19.738994999999999</v>
      </c>
      <c r="G669">
        <v>1896448</v>
      </c>
      <c r="O669" s="8" t="str">
        <f t="shared" si="10"/>
        <v>Profit</v>
      </c>
      <c r="P669" s="6" t="str">
        <f>IF(Table2[[#This Row],[Close]]&gt;Table2[[#This Row],[Open]],"profite","loss")</f>
        <v>profite</v>
      </c>
    </row>
    <row r="670" spans="1:16" x14ac:dyDescent="0.3">
      <c r="A670" s="1">
        <v>36304</v>
      </c>
      <c r="B670">
        <v>72.520058000000006</v>
      </c>
      <c r="C670">
        <v>72.520058000000006</v>
      </c>
      <c r="D670">
        <v>72.520058000000006</v>
      </c>
      <c r="E670">
        <v>72.520058000000006</v>
      </c>
      <c r="F670">
        <v>19.738994999999999</v>
      </c>
      <c r="G670">
        <v>0</v>
      </c>
      <c r="O670" s="8" t="str">
        <f t="shared" si="10"/>
        <v>No Change</v>
      </c>
      <c r="P670" s="5" t="str">
        <f>IF(Table2[[#This Row],[Close]]&gt;Table2[[#This Row],[Open]],"profite","loss")</f>
        <v>loss</v>
      </c>
    </row>
    <row r="671" spans="1:16" x14ac:dyDescent="0.3">
      <c r="A671" s="1">
        <v>36305</v>
      </c>
      <c r="B671">
        <v>71.530281000000002</v>
      </c>
      <c r="C671">
        <v>71.530281000000002</v>
      </c>
      <c r="D671">
        <v>70.041450999999995</v>
      </c>
      <c r="E671">
        <v>72.029326999999995</v>
      </c>
      <c r="F671">
        <v>19.605426999999999</v>
      </c>
      <c r="G671">
        <v>1922385</v>
      </c>
      <c r="O671" s="8" t="str">
        <f t="shared" si="10"/>
        <v>Profit</v>
      </c>
      <c r="P671" s="6" t="str">
        <f>IF(Table2[[#This Row],[Close]]&gt;Table2[[#This Row],[Open]],"profite","loss")</f>
        <v>profite</v>
      </c>
    </row>
    <row r="672" spans="1:16" x14ac:dyDescent="0.3">
      <c r="A672" s="1">
        <v>36306</v>
      </c>
      <c r="B672">
        <v>70.033134000000004</v>
      </c>
      <c r="C672">
        <v>71.447104999999993</v>
      </c>
      <c r="D672">
        <v>70.033134000000004</v>
      </c>
      <c r="E672">
        <v>70.873199</v>
      </c>
      <c r="F672">
        <v>19.290738999999999</v>
      </c>
      <c r="G672">
        <v>1761725</v>
      </c>
      <c r="O672" s="8" t="str">
        <f t="shared" si="10"/>
        <v>Profit</v>
      </c>
      <c r="P672" s="5" t="str">
        <f>IF(Table2[[#This Row],[Close]]&gt;Table2[[#This Row],[Open]],"profite","loss")</f>
        <v>profite</v>
      </c>
    </row>
    <row r="673" spans="1:16" x14ac:dyDescent="0.3">
      <c r="A673" s="1">
        <v>36307</v>
      </c>
      <c r="B673">
        <v>71.197586000000001</v>
      </c>
      <c r="C673">
        <v>71.447104999999993</v>
      </c>
      <c r="D673">
        <v>69.118217000000001</v>
      </c>
      <c r="E673">
        <v>70.931426999999999</v>
      </c>
      <c r="F673">
        <v>19.306588999999999</v>
      </c>
      <c r="G673">
        <v>2411417</v>
      </c>
      <c r="O673" s="8" t="str">
        <f t="shared" si="10"/>
        <v>Loss</v>
      </c>
      <c r="P673" s="6" t="str">
        <f>IF(Table2[[#This Row],[Close]]&gt;Table2[[#This Row],[Open]],"profite","loss")</f>
        <v>loss</v>
      </c>
    </row>
    <row r="674" spans="1:16" x14ac:dyDescent="0.3">
      <c r="A674" s="1">
        <v>36308</v>
      </c>
      <c r="B674">
        <v>68.993454</v>
      </c>
      <c r="C674">
        <v>69.434280000000001</v>
      </c>
      <c r="D674">
        <v>66.880814000000001</v>
      </c>
      <c r="E674">
        <v>69.242973000000006</v>
      </c>
      <c r="F674">
        <v>18.847013</v>
      </c>
      <c r="G674">
        <v>3083928</v>
      </c>
      <c r="O674" s="8" t="str">
        <f t="shared" si="10"/>
        <v>Profit</v>
      </c>
      <c r="P674" s="5" t="str">
        <f>IF(Table2[[#This Row],[Close]]&gt;Table2[[#This Row],[Open]],"profite","loss")</f>
        <v>profite</v>
      </c>
    </row>
    <row r="675" spans="1:16" x14ac:dyDescent="0.3">
      <c r="A675" s="1">
        <v>36311</v>
      </c>
      <c r="B675">
        <v>69.858467000000005</v>
      </c>
      <c r="C675">
        <v>69.858467000000005</v>
      </c>
      <c r="D675">
        <v>68.619163999999998</v>
      </c>
      <c r="E675">
        <v>69.118217000000001</v>
      </c>
      <c r="F675">
        <v>18.813057000000001</v>
      </c>
      <c r="G675">
        <v>1126248</v>
      </c>
      <c r="O675" s="8" t="str">
        <f t="shared" si="10"/>
        <v>Loss</v>
      </c>
      <c r="P675" s="6" t="str">
        <f>IF(Table2[[#This Row],[Close]]&gt;Table2[[#This Row],[Open]],"profite","loss")</f>
        <v>loss</v>
      </c>
    </row>
    <row r="676" spans="1:16" x14ac:dyDescent="0.3">
      <c r="A676" s="1">
        <v>36312</v>
      </c>
      <c r="B676">
        <v>69.450912000000002</v>
      </c>
      <c r="C676">
        <v>69.450912000000002</v>
      </c>
      <c r="D676">
        <v>67.537895000000006</v>
      </c>
      <c r="E676">
        <v>69.168120999999999</v>
      </c>
      <c r="F676">
        <v>18.826643000000001</v>
      </c>
      <c r="G676">
        <v>2352420</v>
      </c>
      <c r="O676" s="8" t="str">
        <f t="shared" si="10"/>
        <v>Loss</v>
      </c>
      <c r="P676" s="5" t="str">
        <f>IF(Table2[[#This Row],[Close]]&gt;Table2[[#This Row],[Open]],"profite","loss")</f>
        <v>loss</v>
      </c>
    </row>
    <row r="677" spans="1:16" x14ac:dyDescent="0.3">
      <c r="A677" s="1">
        <v>36313</v>
      </c>
      <c r="B677">
        <v>68.286468999999997</v>
      </c>
      <c r="C677">
        <v>69.692122999999995</v>
      </c>
      <c r="D677">
        <v>67.995354000000006</v>
      </c>
      <c r="E677">
        <v>68.028625000000005</v>
      </c>
      <c r="F677">
        <v>18.516480999999999</v>
      </c>
      <c r="G677">
        <v>2232933</v>
      </c>
      <c r="O677" s="8" t="str">
        <f t="shared" si="10"/>
        <v>Loss</v>
      </c>
      <c r="P677" s="6" t="str">
        <f>IF(Table2[[#This Row],[Close]]&gt;Table2[[#This Row],[Open]],"profite","loss")</f>
        <v>loss</v>
      </c>
    </row>
    <row r="678" spans="1:16" x14ac:dyDescent="0.3">
      <c r="A678" s="1">
        <v>36314</v>
      </c>
      <c r="B678">
        <v>68.028625000000005</v>
      </c>
      <c r="C678">
        <v>68.028625000000005</v>
      </c>
      <c r="D678">
        <v>68.028625000000005</v>
      </c>
      <c r="E678">
        <v>68.028625000000005</v>
      </c>
      <c r="F678">
        <v>18.516480999999999</v>
      </c>
      <c r="G678">
        <v>0</v>
      </c>
      <c r="O678" s="8" t="str">
        <f t="shared" si="10"/>
        <v>No Change</v>
      </c>
      <c r="P678" s="5" t="str">
        <f>IF(Table2[[#This Row],[Close]]&gt;Table2[[#This Row],[Open]],"profite","loss")</f>
        <v>loss</v>
      </c>
    </row>
    <row r="679" spans="1:16" x14ac:dyDescent="0.3">
      <c r="A679" s="1">
        <v>36315</v>
      </c>
      <c r="B679">
        <v>69.866791000000006</v>
      </c>
      <c r="C679">
        <v>69.866791000000006</v>
      </c>
      <c r="D679">
        <v>69.143165999999994</v>
      </c>
      <c r="E679">
        <v>69.109893999999997</v>
      </c>
      <c r="F679">
        <v>18.810794999999999</v>
      </c>
      <c r="G679">
        <v>2778200</v>
      </c>
      <c r="O679" s="8" t="str">
        <f t="shared" si="10"/>
        <v>Loss</v>
      </c>
      <c r="P679" s="6" t="str">
        <f>IF(Table2[[#This Row],[Close]]&gt;Table2[[#This Row],[Open]],"profite","loss")</f>
        <v>loss</v>
      </c>
    </row>
    <row r="680" spans="1:16" x14ac:dyDescent="0.3">
      <c r="A680" s="1">
        <v>36318</v>
      </c>
      <c r="B680">
        <v>70.033134000000004</v>
      </c>
      <c r="C680">
        <v>70.532188000000005</v>
      </c>
      <c r="D680">
        <v>69.575676000000001</v>
      </c>
      <c r="E680">
        <v>69.700439000000003</v>
      </c>
      <c r="F680">
        <v>18.971534999999999</v>
      </c>
      <c r="G680">
        <v>2652270</v>
      </c>
      <c r="O680" s="8" t="str">
        <f t="shared" si="10"/>
        <v>Loss</v>
      </c>
      <c r="P680" s="5" t="str">
        <f>IF(Table2[[#This Row],[Close]]&gt;Table2[[#This Row],[Open]],"profite","loss")</f>
        <v>loss</v>
      </c>
    </row>
    <row r="681" spans="1:16" x14ac:dyDescent="0.3">
      <c r="A681" s="1">
        <v>36319</v>
      </c>
      <c r="B681">
        <v>70.723488000000003</v>
      </c>
      <c r="C681">
        <v>71.338982000000001</v>
      </c>
      <c r="D681">
        <v>69.118217000000001</v>
      </c>
      <c r="E681">
        <v>70.365836999999999</v>
      </c>
      <c r="F681">
        <v>19.152643000000001</v>
      </c>
      <c r="G681">
        <v>3515056</v>
      </c>
      <c r="O681" s="8" t="str">
        <f t="shared" si="10"/>
        <v>Loss</v>
      </c>
      <c r="P681" s="6" t="str">
        <f>IF(Table2[[#This Row],[Close]]&gt;Table2[[#This Row],[Open]],"profite","loss")</f>
        <v>loss</v>
      </c>
    </row>
    <row r="682" spans="1:16" x14ac:dyDescent="0.3">
      <c r="A682" s="1">
        <v>36320</v>
      </c>
      <c r="B682">
        <v>68.910278000000005</v>
      </c>
      <c r="C682">
        <v>69.991546999999997</v>
      </c>
      <c r="D682">
        <v>68.452811999999994</v>
      </c>
      <c r="E682">
        <v>69.118217000000001</v>
      </c>
      <c r="F682">
        <v>18.813057000000001</v>
      </c>
      <c r="G682">
        <v>2867547</v>
      </c>
      <c r="O682" s="8" t="str">
        <f t="shared" si="10"/>
        <v>Profit</v>
      </c>
      <c r="P682" s="5" t="str">
        <f>IF(Table2[[#This Row],[Close]]&gt;Table2[[#This Row],[Open]],"profite","loss")</f>
        <v>profite</v>
      </c>
    </row>
    <row r="683" spans="1:16" x14ac:dyDescent="0.3">
      <c r="A683" s="1">
        <v>36321</v>
      </c>
      <c r="B683">
        <v>69.783614999999998</v>
      </c>
      <c r="C683">
        <v>69.991546999999997</v>
      </c>
      <c r="D683">
        <v>68.095161000000004</v>
      </c>
      <c r="E683">
        <v>69.559036000000006</v>
      </c>
      <c r="F683">
        <v>18.933046000000001</v>
      </c>
      <c r="G683">
        <v>2911661</v>
      </c>
      <c r="O683" s="8" t="str">
        <f t="shared" si="10"/>
        <v>Loss</v>
      </c>
      <c r="P683" s="6" t="str">
        <f>IF(Table2[[#This Row],[Close]]&gt;Table2[[#This Row],[Open]],"profite","loss")</f>
        <v>loss</v>
      </c>
    </row>
    <row r="684" spans="1:16" x14ac:dyDescent="0.3">
      <c r="A684" s="1">
        <v>36322</v>
      </c>
      <c r="B684">
        <v>68.411231999999998</v>
      </c>
      <c r="C684">
        <v>70.365836999999999</v>
      </c>
      <c r="D684">
        <v>68.377960000000002</v>
      </c>
      <c r="E684">
        <v>68.120116999999993</v>
      </c>
      <c r="F684">
        <v>18.541388999999999</v>
      </c>
      <c r="G684">
        <v>3073452</v>
      </c>
      <c r="O684" s="8" t="str">
        <f t="shared" si="10"/>
        <v>Loss</v>
      </c>
      <c r="P684" s="5" t="str">
        <f>IF(Table2[[#This Row],[Close]]&gt;Table2[[#This Row],[Open]],"profite","loss")</f>
        <v>loss</v>
      </c>
    </row>
    <row r="685" spans="1:16" x14ac:dyDescent="0.3">
      <c r="A685" s="1">
        <v>36325</v>
      </c>
      <c r="B685">
        <v>69.866791000000006</v>
      </c>
      <c r="C685">
        <v>70.923102999999998</v>
      </c>
      <c r="D685">
        <v>69.825194999999994</v>
      </c>
      <c r="E685">
        <v>70.107994000000005</v>
      </c>
      <c r="F685">
        <v>19.082464000000002</v>
      </c>
      <c r="G685">
        <v>2704257</v>
      </c>
      <c r="O685" s="8" t="str">
        <f t="shared" si="10"/>
        <v>Profit</v>
      </c>
      <c r="P685" s="6" t="str">
        <f>IF(Table2[[#This Row],[Close]]&gt;Table2[[#This Row],[Open]],"profite","loss")</f>
        <v>profite</v>
      </c>
    </row>
    <row r="686" spans="1:16" x14ac:dyDescent="0.3">
      <c r="A686" s="1">
        <v>36326</v>
      </c>
      <c r="B686">
        <v>70.365836999999999</v>
      </c>
      <c r="C686">
        <v>71.072823</v>
      </c>
      <c r="D686">
        <v>69.575676000000001</v>
      </c>
      <c r="E686">
        <v>70.282661000000004</v>
      </c>
      <c r="F686">
        <v>19.130002999999999</v>
      </c>
      <c r="G686">
        <v>3581186</v>
      </c>
      <c r="O686" s="8" t="str">
        <f t="shared" si="10"/>
        <v>Loss</v>
      </c>
      <c r="P686" s="5" t="str">
        <f>IF(Table2[[#This Row],[Close]]&gt;Table2[[#This Row],[Open]],"profite","loss")</f>
        <v>loss</v>
      </c>
    </row>
    <row r="687" spans="1:16" x14ac:dyDescent="0.3">
      <c r="A687" s="1">
        <v>36327</v>
      </c>
      <c r="B687">
        <v>70.449012999999994</v>
      </c>
      <c r="C687">
        <v>71.114410000000007</v>
      </c>
      <c r="D687">
        <v>69.825194999999994</v>
      </c>
      <c r="E687">
        <v>70.848251000000005</v>
      </c>
      <c r="F687">
        <v>19.283957000000001</v>
      </c>
      <c r="G687">
        <v>2646754</v>
      </c>
      <c r="O687" s="8" t="str">
        <f t="shared" si="10"/>
        <v>Profit</v>
      </c>
      <c r="P687" s="6" t="str">
        <f>IF(Table2[[#This Row],[Close]]&gt;Table2[[#This Row],[Open]],"profite","loss")</f>
        <v>profite</v>
      </c>
    </row>
    <row r="688" spans="1:16" x14ac:dyDescent="0.3">
      <c r="A688" s="1">
        <v>36328</v>
      </c>
      <c r="B688">
        <v>71.338982000000001</v>
      </c>
      <c r="C688">
        <v>71.679992999999996</v>
      </c>
      <c r="D688">
        <v>71.031234999999995</v>
      </c>
      <c r="E688">
        <v>70.948059000000001</v>
      </c>
      <c r="F688">
        <v>19.311119000000001</v>
      </c>
      <c r="G688">
        <v>2426417</v>
      </c>
      <c r="O688" s="8" t="str">
        <f t="shared" si="10"/>
        <v>Loss</v>
      </c>
      <c r="P688" s="5" t="str">
        <f>IF(Table2[[#This Row],[Close]]&gt;Table2[[#This Row],[Open]],"profite","loss")</f>
        <v>loss</v>
      </c>
    </row>
    <row r="689" spans="1:16" x14ac:dyDescent="0.3">
      <c r="A689" s="1">
        <v>36329</v>
      </c>
      <c r="B689">
        <v>71.571869000000007</v>
      </c>
      <c r="C689">
        <v>72.362030000000004</v>
      </c>
      <c r="D689">
        <v>70.715171999999995</v>
      </c>
      <c r="E689">
        <v>71.521964999999994</v>
      </c>
      <c r="F689">
        <v>19.467328999999999</v>
      </c>
      <c r="G689">
        <v>16150560</v>
      </c>
      <c r="O689" s="8" t="str">
        <f t="shared" si="10"/>
        <v>Loss</v>
      </c>
      <c r="P689" s="6" t="str">
        <f>IF(Table2[[#This Row],[Close]]&gt;Table2[[#This Row],[Open]],"profite","loss")</f>
        <v>loss</v>
      </c>
    </row>
    <row r="690" spans="1:16" x14ac:dyDescent="0.3">
      <c r="A690" s="1">
        <v>36332</v>
      </c>
      <c r="B690">
        <v>71.122726</v>
      </c>
      <c r="C690">
        <v>72.528380999999996</v>
      </c>
      <c r="D690">
        <v>70.864883000000006</v>
      </c>
      <c r="E690">
        <v>70.715171999999995</v>
      </c>
      <c r="F690">
        <v>19.247726</v>
      </c>
      <c r="G690">
        <v>3283282</v>
      </c>
      <c r="O690" s="8" t="str">
        <f t="shared" si="10"/>
        <v>Loss</v>
      </c>
      <c r="P690" s="5" t="str">
        <f>IF(Table2[[#This Row],[Close]]&gt;Table2[[#This Row],[Open]],"profite","loss")</f>
        <v>loss</v>
      </c>
    </row>
    <row r="691" spans="1:16" x14ac:dyDescent="0.3">
      <c r="A691" s="1">
        <v>36333</v>
      </c>
      <c r="B691">
        <v>71.946151999999998</v>
      </c>
      <c r="C691">
        <v>72.195678999999998</v>
      </c>
      <c r="D691">
        <v>71.322342000000006</v>
      </c>
      <c r="E691">
        <v>72.104186999999996</v>
      </c>
      <c r="F691">
        <v>19.625799000000001</v>
      </c>
      <c r="G691">
        <v>1913860</v>
      </c>
      <c r="O691" s="8" t="str">
        <f t="shared" si="10"/>
        <v>Profit</v>
      </c>
      <c r="P691" s="6" t="str">
        <f>IF(Table2[[#This Row],[Close]]&gt;Table2[[#This Row],[Open]],"profite","loss")</f>
        <v>profite</v>
      </c>
    </row>
    <row r="692" spans="1:16" x14ac:dyDescent="0.3">
      <c r="A692" s="1">
        <v>36334</v>
      </c>
      <c r="B692">
        <v>71.488692999999998</v>
      </c>
      <c r="C692">
        <v>71.838027999999994</v>
      </c>
      <c r="D692">
        <v>70.881516000000005</v>
      </c>
      <c r="E692">
        <v>71.738219999999998</v>
      </c>
      <c r="F692">
        <v>19.526184000000001</v>
      </c>
      <c r="G692">
        <v>2123051</v>
      </c>
      <c r="O692" s="8" t="str">
        <f t="shared" si="10"/>
        <v>Profit</v>
      </c>
      <c r="P692" s="5" t="str">
        <f>IF(Table2[[#This Row],[Close]]&gt;Table2[[#This Row],[Open]],"profite","loss")</f>
        <v>profite</v>
      </c>
    </row>
    <row r="693" spans="1:16" x14ac:dyDescent="0.3">
      <c r="A693" s="1">
        <v>36335</v>
      </c>
      <c r="B693">
        <v>71.114410000000007</v>
      </c>
      <c r="C693">
        <v>71.829712000000001</v>
      </c>
      <c r="D693">
        <v>70.831612000000007</v>
      </c>
      <c r="E693">
        <v>71.363929999999996</v>
      </c>
      <c r="F693">
        <v>19.424313000000001</v>
      </c>
      <c r="G693">
        <v>2370673</v>
      </c>
      <c r="O693" s="8" t="str">
        <f t="shared" si="10"/>
        <v>Profit</v>
      </c>
      <c r="P693" s="6" t="str">
        <f>IF(Table2[[#This Row],[Close]]&gt;Table2[[#This Row],[Open]],"profite","loss")</f>
        <v>profite</v>
      </c>
    </row>
    <row r="694" spans="1:16" x14ac:dyDescent="0.3">
      <c r="A694" s="1">
        <v>36336</v>
      </c>
      <c r="B694">
        <v>70.706856000000002</v>
      </c>
      <c r="C694">
        <v>71.363929999999996</v>
      </c>
      <c r="D694">
        <v>70.282661000000004</v>
      </c>
      <c r="E694">
        <v>70.831612000000007</v>
      </c>
      <c r="F694">
        <v>19.279423000000001</v>
      </c>
      <c r="G694">
        <v>2194875</v>
      </c>
      <c r="O694" s="8" t="str">
        <f t="shared" si="10"/>
        <v>Profit</v>
      </c>
      <c r="P694" s="5" t="str">
        <f>IF(Table2[[#This Row],[Close]]&gt;Table2[[#This Row],[Open]],"profite","loss")</f>
        <v>profite</v>
      </c>
    </row>
    <row r="695" spans="1:16" x14ac:dyDescent="0.3">
      <c r="A695" s="1">
        <v>36339</v>
      </c>
      <c r="B695">
        <v>71.530281000000002</v>
      </c>
      <c r="C695">
        <v>71.646728999999993</v>
      </c>
      <c r="D695">
        <v>70.731803999999997</v>
      </c>
      <c r="E695">
        <v>71.264122</v>
      </c>
      <c r="F695">
        <v>19.397145999999999</v>
      </c>
      <c r="G695">
        <v>1774201</v>
      </c>
      <c r="O695" s="8" t="str">
        <f t="shared" si="10"/>
        <v>Loss</v>
      </c>
      <c r="P695" s="6" t="str">
        <f>IF(Table2[[#This Row],[Close]]&gt;Table2[[#This Row],[Open]],"profite","loss")</f>
        <v>loss</v>
      </c>
    </row>
    <row r="696" spans="1:16" x14ac:dyDescent="0.3">
      <c r="A696" s="1">
        <v>36340</v>
      </c>
      <c r="B696">
        <v>71.197586000000001</v>
      </c>
      <c r="C696">
        <v>71.305710000000005</v>
      </c>
      <c r="D696">
        <v>70.340880999999996</v>
      </c>
      <c r="E696">
        <v>71.272437999999994</v>
      </c>
      <c r="F696">
        <v>19.399408000000001</v>
      </c>
      <c r="G696">
        <v>1759654</v>
      </c>
      <c r="O696" s="8" t="str">
        <f t="shared" si="10"/>
        <v>Profit</v>
      </c>
      <c r="P696" s="5" t="str">
        <f>IF(Table2[[#This Row],[Close]]&gt;Table2[[#This Row],[Open]],"profite","loss")</f>
        <v>profite</v>
      </c>
    </row>
    <row r="697" spans="1:16" x14ac:dyDescent="0.3">
      <c r="A697" s="1">
        <v>36341</v>
      </c>
      <c r="B697">
        <v>70.823295999999999</v>
      </c>
      <c r="C697">
        <v>70.981330999999997</v>
      </c>
      <c r="D697">
        <v>69.534087999999997</v>
      </c>
      <c r="E697">
        <v>70.723488000000003</v>
      </c>
      <c r="F697">
        <v>19.249991999999999</v>
      </c>
      <c r="G697">
        <v>2001274</v>
      </c>
      <c r="O697" s="8" t="str">
        <f t="shared" si="10"/>
        <v>Loss</v>
      </c>
      <c r="P697" s="6" t="str">
        <f>IF(Table2[[#This Row],[Close]]&gt;Table2[[#This Row],[Open]],"profite","loss")</f>
        <v>loss</v>
      </c>
    </row>
    <row r="698" spans="1:16" x14ac:dyDescent="0.3">
      <c r="A698" s="1">
        <v>36342</v>
      </c>
      <c r="B698">
        <v>71.280761999999996</v>
      </c>
      <c r="C698">
        <v>72.977524000000003</v>
      </c>
      <c r="D698">
        <v>70.906470999999996</v>
      </c>
      <c r="E698">
        <v>70.199485999999993</v>
      </c>
      <c r="F698">
        <v>19.107368000000001</v>
      </c>
      <c r="G698">
        <v>5078270</v>
      </c>
      <c r="O698" s="8" t="str">
        <f t="shared" si="10"/>
        <v>Loss</v>
      </c>
      <c r="P698" s="5" t="str">
        <f>IF(Table2[[#This Row],[Close]]&gt;Table2[[#This Row],[Open]],"profite","loss")</f>
        <v>loss</v>
      </c>
    </row>
    <row r="699" spans="1:16" x14ac:dyDescent="0.3">
      <c r="A699" s="1">
        <v>36343</v>
      </c>
      <c r="B699">
        <v>72.362030000000004</v>
      </c>
      <c r="C699">
        <v>72.653137000000001</v>
      </c>
      <c r="D699">
        <v>71.114410000000007</v>
      </c>
      <c r="E699">
        <v>72.245582999999996</v>
      </c>
      <c r="F699">
        <v>19.664283999999999</v>
      </c>
      <c r="G699">
        <v>2105201</v>
      </c>
      <c r="O699" s="8" t="str">
        <f t="shared" si="10"/>
        <v>Loss</v>
      </c>
      <c r="P699" s="6" t="str">
        <f>IF(Table2[[#This Row],[Close]]&gt;Table2[[#This Row],[Open]],"profite","loss")</f>
        <v>loss</v>
      </c>
    </row>
    <row r="700" spans="1:16" x14ac:dyDescent="0.3">
      <c r="A700" s="1">
        <v>36346</v>
      </c>
      <c r="B700">
        <v>71.729904000000005</v>
      </c>
      <c r="C700">
        <v>73.593018000000001</v>
      </c>
      <c r="D700">
        <v>71.530281000000002</v>
      </c>
      <c r="E700">
        <v>71.197586000000001</v>
      </c>
      <c r="F700">
        <v>19.37903</v>
      </c>
      <c r="G700">
        <v>2439395</v>
      </c>
      <c r="O700" s="8" t="str">
        <f t="shared" si="10"/>
        <v>Loss</v>
      </c>
      <c r="P700" s="5" t="str">
        <f>IF(Table2[[#This Row],[Close]]&gt;Table2[[#This Row],[Open]],"profite","loss")</f>
        <v>loss</v>
      </c>
    </row>
    <row r="701" spans="1:16" x14ac:dyDescent="0.3">
      <c r="A701" s="1">
        <v>36347</v>
      </c>
      <c r="B701">
        <v>73.601333999999994</v>
      </c>
      <c r="C701">
        <v>74.624381999999997</v>
      </c>
      <c r="D701">
        <v>72.569969</v>
      </c>
      <c r="E701">
        <v>72.786216999999994</v>
      </c>
      <c r="F701">
        <v>19.811440999999999</v>
      </c>
      <c r="G701">
        <v>2799594</v>
      </c>
      <c r="O701" s="8" t="str">
        <f t="shared" si="10"/>
        <v>Loss</v>
      </c>
      <c r="P701" s="6" t="str">
        <f>IF(Table2[[#This Row],[Close]]&gt;Table2[[#This Row],[Open]],"profite","loss")</f>
        <v>loss</v>
      </c>
    </row>
    <row r="702" spans="1:16" x14ac:dyDescent="0.3">
      <c r="A702" s="1">
        <v>36348</v>
      </c>
      <c r="B702">
        <v>73.701141000000007</v>
      </c>
      <c r="C702">
        <v>74.682602000000003</v>
      </c>
      <c r="D702">
        <v>73.526473999999993</v>
      </c>
      <c r="E702">
        <v>74.108695999999995</v>
      </c>
      <c r="F702">
        <v>20.171403999999999</v>
      </c>
      <c r="G702">
        <v>2180206</v>
      </c>
      <c r="O702" s="8" t="str">
        <f t="shared" si="10"/>
        <v>Profit</v>
      </c>
      <c r="P702" s="5" t="str">
        <f>IF(Table2[[#This Row],[Close]]&gt;Table2[[#This Row],[Open]],"profite","loss")</f>
        <v>profite</v>
      </c>
    </row>
    <row r="703" spans="1:16" x14ac:dyDescent="0.3">
      <c r="A703" s="1">
        <v>36349</v>
      </c>
      <c r="B703">
        <v>74.166923999999995</v>
      </c>
      <c r="C703">
        <v>74.566162000000006</v>
      </c>
      <c r="D703">
        <v>72.694725000000005</v>
      </c>
      <c r="E703">
        <v>73.958984000000001</v>
      </c>
      <c r="F703">
        <v>20.130652999999999</v>
      </c>
      <c r="G703">
        <v>2016573</v>
      </c>
      <c r="O703" s="8" t="str">
        <f t="shared" si="10"/>
        <v>Loss</v>
      </c>
      <c r="P703" s="6" t="str">
        <f>IF(Table2[[#This Row],[Close]]&gt;Table2[[#This Row],[Open]],"profite","loss")</f>
        <v>loss</v>
      </c>
    </row>
    <row r="704" spans="1:16" x14ac:dyDescent="0.3">
      <c r="A704" s="1">
        <v>36350</v>
      </c>
      <c r="B704">
        <v>72.944252000000006</v>
      </c>
      <c r="C704">
        <v>74.316635000000005</v>
      </c>
      <c r="D704">
        <v>72.944252000000006</v>
      </c>
      <c r="E704">
        <v>73.734413000000004</v>
      </c>
      <c r="F704">
        <v>20.069523</v>
      </c>
      <c r="G704">
        <v>2610261</v>
      </c>
      <c r="O704" s="8" t="str">
        <f t="shared" si="10"/>
        <v>Profit</v>
      </c>
      <c r="P704" s="5" t="str">
        <f>IF(Table2[[#This Row],[Close]]&gt;Table2[[#This Row],[Open]],"profite","loss")</f>
        <v>profite</v>
      </c>
    </row>
    <row r="705" spans="1:16" x14ac:dyDescent="0.3">
      <c r="A705" s="1">
        <v>36353</v>
      </c>
      <c r="B705">
        <v>74.233458999999996</v>
      </c>
      <c r="C705">
        <v>74.341590999999994</v>
      </c>
      <c r="D705">
        <v>73.318541999999994</v>
      </c>
      <c r="E705">
        <v>73.734413000000004</v>
      </c>
      <c r="F705">
        <v>20.069523</v>
      </c>
      <c r="G705">
        <v>1842176</v>
      </c>
      <c r="O705" s="8" t="str">
        <f t="shared" si="10"/>
        <v>Loss</v>
      </c>
      <c r="P705" s="6" t="str">
        <f>IF(Table2[[#This Row],[Close]]&gt;Table2[[#This Row],[Open]],"profite","loss")</f>
        <v>loss</v>
      </c>
    </row>
    <row r="706" spans="1:16" x14ac:dyDescent="0.3">
      <c r="A706" s="1">
        <v>36354</v>
      </c>
      <c r="B706">
        <v>73.484886000000003</v>
      </c>
      <c r="C706">
        <v>73.601333999999994</v>
      </c>
      <c r="D706">
        <v>72.611548999999997</v>
      </c>
      <c r="E706">
        <v>73.318541999999994</v>
      </c>
      <c r="F706">
        <v>19.956329</v>
      </c>
      <c r="G706">
        <v>1619536</v>
      </c>
      <c r="O706" s="8" t="str">
        <f t="shared" si="10"/>
        <v>Loss</v>
      </c>
      <c r="P706" s="5" t="str">
        <f>IF(Table2[[#This Row],[Close]]&gt;Table2[[#This Row],[Open]],"profite","loss")</f>
        <v>loss</v>
      </c>
    </row>
    <row r="707" spans="1:16" x14ac:dyDescent="0.3">
      <c r="A707" s="1">
        <v>36355</v>
      </c>
      <c r="B707">
        <v>72.777901</v>
      </c>
      <c r="C707">
        <v>74.316635000000005</v>
      </c>
      <c r="D707">
        <v>72.777901</v>
      </c>
      <c r="E707">
        <v>72.927620000000005</v>
      </c>
      <c r="F707">
        <v>19.849926</v>
      </c>
      <c r="G707">
        <v>2610548</v>
      </c>
      <c r="O707" s="8" t="str">
        <f t="shared" ref="O707:O770" si="11">IF(E707&gt;B707,"Profit",IF(E707&lt;B707,"Loss","No Change"))</f>
        <v>Profit</v>
      </c>
      <c r="P707" s="6" t="str">
        <f>IF(Table2[[#This Row],[Close]]&gt;Table2[[#This Row],[Open]],"profite","loss")</f>
        <v>profite</v>
      </c>
    </row>
    <row r="708" spans="1:16" x14ac:dyDescent="0.3">
      <c r="A708" s="1">
        <v>36356</v>
      </c>
      <c r="B708">
        <v>72.910979999999995</v>
      </c>
      <c r="C708">
        <v>73.692824999999999</v>
      </c>
      <c r="D708">
        <v>72.362030000000004</v>
      </c>
      <c r="E708">
        <v>73.069016000000005</v>
      </c>
      <c r="F708">
        <v>19.888418000000001</v>
      </c>
      <c r="G708">
        <v>2263626</v>
      </c>
      <c r="O708" s="8" t="str">
        <f t="shared" si="11"/>
        <v>Profit</v>
      </c>
      <c r="P708" s="5" t="str">
        <f>IF(Table2[[#This Row],[Close]]&gt;Table2[[#This Row],[Open]],"profite","loss")</f>
        <v>profite</v>
      </c>
    </row>
    <row r="709" spans="1:16" x14ac:dyDescent="0.3">
      <c r="A709" s="1">
        <v>36357</v>
      </c>
      <c r="B709">
        <v>73.110602999999998</v>
      </c>
      <c r="C709">
        <v>73.692824999999999</v>
      </c>
      <c r="D709">
        <v>72.944252000000006</v>
      </c>
      <c r="E709">
        <v>73.069016000000005</v>
      </c>
      <c r="F709">
        <v>19.888418000000001</v>
      </c>
      <c r="G709">
        <v>2243406</v>
      </c>
      <c r="O709" s="8" t="str">
        <f t="shared" si="11"/>
        <v>Loss</v>
      </c>
      <c r="P709" s="6" t="str">
        <f>IF(Table2[[#This Row],[Close]]&gt;Table2[[#This Row],[Open]],"profite","loss")</f>
        <v>loss</v>
      </c>
    </row>
    <row r="710" spans="1:16" x14ac:dyDescent="0.3">
      <c r="A710" s="1">
        <v>36360</v>
      </c>
      <c r="B710">
        <v>73.110602999999998</v>
      </c>
      <c r="C710">
        <v>73.692824999999999</v>
      </c>
      <c r="D710">
        <v>72.611548999999997</v>
      </c>
      <c r="E710">
        <v>73.276955000000001</v>
      </c>
      <c r="F710">
        <v>19.945017</v>
      </c>
      <c r="G710">
        <v>1446187</v>
      </c>
      <c r="O710" s="8" t="str">
        <f t="shared" si="11"/>
        <v>Profit</v>
      </c>
      <c r="P710" s="5" t="str">
        <f>IF(Table2[[#This Row],[Close]]&gt;Table2[[#This Row],[Open]],"profite","loss")</f>
        <v>profite</v>
      </c>
    </row>
    <row r="711" spans="1:16" x14ac:dyDescent="0.3">
      <c r="A711" s="1">
        <v>36361</v>
      </c>
      <c r="B711">
        <v>72.611548999999997</v>
      </c>
      <c r="C711">
        <v>73.235366999999997</v>
      </c>
      <c r="D711">
        <v>70.324248999999995</v>
      </c>
      <c r="E711">
        <v>72.861075999999997</v>
      </c>
      <c r="F711">
        <v>19.831817999999998</v>
      </c>
      <c r="G711">
        <v>2930177</v>
      </c>
      <c r="O711" s="8" t="str">
        <f t="shared" si="11"/>
        <v>Profit</v>
      </c>
      <c r="P711" s="6" t="str">
        <f>IF(Table2[[#This Row],[Close]]&gt;Table2[[#This Row],[Open]],"profite","loss")</f>
        <v>profite</v>
      </c>
    </row>
    <row r="712" spans="1:16" x14ac:dyDescent="0.3">
      <c r="A712" s="1">
        <v>36362</v>
      </c>
      <c r="B712">
        <v>70.282661000000004</v>
      </c>
      <c r="C712">
        <v>71.222533999999996</v>
      </c>
      <c r="D712">
        <v>69.251296999999994</v>
      </c>
      <c r="E712">
        <v>70.432372999999998</v>
      </c>
      <c r="F712">
        <v>19.170755</v>
      </c>
      <c r="G712">
        <v>3621534</v>
      </c>
      <c r="O712" s="8" t="str">
        <f t="shared" si="11"/>
        <v>Profit</v>
      </c>
      <c r="P712" s="5" t="str">
        <f>IF(Table2[[#This Row],[Close]]&gt;Table2[[#This Row],[Open]],"profite","loss")</f>
        <v>profite</v>
      </c>
    </row>
    <row r="713" spans="1:16" x14ac:dyDescent="0.3">
      <c r="A713" s="1">
        <v>36363</v>
      </c>
      <c r="B713">
        <v>69.800246999999999</v>
      </c>
      <c r="C713">
        <v>69.991546999999997</v>
      </c>
      <c r="D713">
        <v>68.136748999999995</v>
      </c>
      <c r="E713">
        <v>69.450912000000002</v>
      </c>
      <c r="F713">
        <v>18.903611999999999</v>
      </c>
      <c r="G713">
        <v>4154003</v>
      </c>
      <c r="O713" s="8" t="str">
        <f t="shared" si="11"/>
        <v>Loss</v>
      </c>
      <c r="P713" s="6" t="str">
        <f>IF(Table2[[#This Row],[Close]]&gt;Table2[[#This Row],[Open]],"profite","loss")</f>
        <v>loss</v>
      </c>
    </row>
    <row r="714" spans="1:16" x14ac:dyDescent="0.3">
      <c r="A714" s="1">
        <v>36364</v>
      </c>
      <c r="B714">
        <v>68.702338999999995</v>
      </c>
      <c r="C714">
        <v>68.827102999999994</v>
      </c>
      <c r="D714">
        <v>66.747733999999994</v>
      </c>
      <c r="E714">
        <v>68.369643999999994</v>
      </c>
      <c r="F714">
        <v>18.609307999999999</v>
      </c>
      <c r="G714">
        <v>4357502</v>
      </c>
      <c r="O714" s="8" t="str">
        <f t="shared" si="11"/>
        <v>Loss</v>
      </c>
      <c r="P714" s="5" t="str">
        <f>IF(Table2[[#This Row],[Close]]&gt;Table2[[#This Row],[Open]],"profite","loss")</f>
        <v>loss</v>
      </c>
    </row>
    <row r="715" spans="1:16" x14ac:dyDescent="0.3">
      <c r="A715" s="1">
        <v>36367</v>
      </c>
      <c r="B715">
        <v>67.246780000000001</v>
      </c>
      <c r="C715">
        <v>67.313323999999994</v>
      </c>
      <c r="D715">
        <v>65.125823999999994</v>
      </c>
      <c r="E715">
        <v>66.797638000000006</v>
      </c>
      <c r="F715">
        <v>18.181432999999998</v>
      </c>
      <c r="G715">
        <v>4777487</v>
      </c>
      <c r="O715" s="8" t="str">
        <f t="shared" si="11"/>
        <v>Loss</v>
      </c>
      <c r="P715" s="6" t="str">
        <f>IF(Table2[[#This Row],[Close]]&gt;Table2[[#This Row],[Open]],"profite","loss")</f>
        <v>loss</v>
      </c>
    </row>
    <row r="716" spans="1:16" x14ac:dyDescent="0.3">
      <c r="A716" s="1">
        <v>36368</v>
      </c>
      <c r="B716">
        <v>65.633194000000003</v>
      </c>
      <c r="C716">
        <v>66.248688000000001</v>
      </c>
      <c r="D716">
        <v>65.142464000000004</v>
      </c>
      <c r="E716">
        <v>65.857765000000001</v>
      </c>
      <c r="F716">
        <v>17.925608</v>
      </c>
      <c r="G716">
        <v>3024142</v>
      </c>
      <c r="O716" s="8" t="str">
        <f t="shared" si="11"/>
        <v>Profit</v>
      </c>
      <c r="P716" s="5" t="str">
        <f>IF(Table2[[#This Row],[Close]]&gt;Table2[[#This Row],[Open]],"profite","loss")</f>
        <v>profite</v>
      </c>
    </row>
    <row r="717" spans="1:16" x14ac:dyDescent="0.3">
      <c r="A717" s="1">
        <v>36369</v>
      </c>
      <c r="B717">
        <v>65.915985000000006</v>
      </c>
      <c r="C717">
        <v>67.097069000000005</v>
      </c>
      <c r="D717">
        <v>65.209000000000003</v>
      </c>
      <c r="E717">
        <v>65.391982999999996</v>
      </c>
      <c r="F717">
        <v>17.798824</v>
      </c>
      <c r="G717">
        <v>3341609</v>
      </c>
      <c r="O717" s="8" t="str">
        <f t="shared" si="11"/>
        <v>Loss</v>
      </c>
      <c r="P717" s="6" t="str">
        <f>IF(Table2[[#This Row],[Close]]&gt;Table2[[#This Row],[Open]],"profite","loss")</f>
        <v>loss</v>
      </c>
    </row>
    <row r="718" spans="1:16" x14ac:dyDescent="0.3">
      <c r="A718" s="1">
        <v>36370</v>
      </c>
      <c r="B718">
        <v>66.664558</v>
      </c>
      <c r="C718">
        <v>66.664558</v>
      </c>
      <c r="D718">
        <v>61.258201999999997</v>
      </c>
      <c r="E718">
        <v>66.539794999999998</v>
      </c>
      <c r="F718">
        <v>18.111243999999999</v>
      </c>
      <c r="G718">
        <v>10833502</v>
      </c>
      <c r="O718" s="8" t="str">
        <f t="shared" si="11"/>
        <v>Loss</v>
      </c>
      <c r="P718" s="5" t="str">
        <f>IF(Table2[[#This Row],[Close]]&gt;Table2[[#This Row],[Open]],"profite","loss")</f>
        <v>loss</v>
      </c>
    </row>
    <row r="719" spans="1:16" x14ac:dyDescent="0.3">
      <c r="A719" s="1">
        <v>36371</v>
      </c>
      <c r="B719">
        <v>61.258201999999997</v>
      </c>
      <c r="C719">
        <v>62.297885999999998</v>
      </c>
      <c r="D719">
        <v>57.681685999999999</v>
      </c>
      <c r="E719">
        <v>61.549312999999998</v>
      </c>
      <c r="F719">
        <v>16.752907</v>
      </c>
      <c r="G719">
        <v>12628105</v>
      </c>
      <c r="O719" s="8" t="str">
        <f t="shared" si="11"/>
        <v>Profit</v>
      </c>
      <c r="P719" s="6" t="str">
        <f>IF(Table2[[#This Row],[Close]]&gt;Table2[[#This Row],[Open]],"profite","loss")</f>
        <v>profite</v>
      </c>
    </row>
    <row r="720" spans="1:16" x14ac:dyDescent="0.3">
      <c r="A720" s="1">
        <v>36374</v>
      </c>
      <c r="B720">
        <v>57.889622000000003</v>
      </c>
      <c r="C720">
        <v>59.220421000000002</v>
      </c>
      <c r="D720">
        <v>57.473751</v>
      </c>
      <c r="E720">
        <v>59.220421000000002</v>
      </c>
      <c r="F720">
        <v>16.119011</v>
      </c>
      <c r="G720">
        <v>8792293</v>
      </c>
      <c r="O720" s="8" t="str">
        <f t="shared" si="11"/>
        <v>Profit</v>
      </c>
      <c r="P720" s="5" t="str">
        <f>IF(Table2[[#This Row],[Close]]&gt;Table2[[#This Row],[Open]],"profite","loss")</f>
        <v>profite</v>
      </c>
    </row>
    <row r="721" spans="1:16" x14ac:dyDescent="0.3">
      <c r="A721" s="1">
        <v>36375</v>
      </c>
      <c r="B721">
        <v>58.513435000000001</v>
      </c>
      <c r="C721">
        <v>60.052166</v>
      </c>
      <c r="D721">
        <v>58.055973000000002</v>
      </c>
      <c r="E721">
        <v>58.646515000000001</v>
      </c>
      <c r="F721">
        <v>15.962799</v>
      </c>
      <c r="G721">
        <v>6281901</v>
      </c>
      <c r="O721" s="8" t="str">
        <f t="shared" si="11"/>
        <v>Profit</v>
      </c>
      <c r="P721" s="6" t="str">
        <f>IF(Table2[[#This Row],[Close]]&gt;Table2[[#This Row],[Open]],"profite","loss")</f>
        <v>profite</v>
      </c>
    </row>
    <row r="722" spans="1:16" x14ac:dyDescent="0.3">
      <c r="A722" s="1">
        <v>36376</v>
      </c>
      <c r="B722">
        <v>59.087341000000002</v>
      </c>
      <c r="C722">
        <v>60.093753999999997</v>
      </c>
      <c r="D722">
        <v>58.555019000000001</v>
      </c>
      <c r="E722">
        <v>59.137245</v>
      </c>
      <c r="F722">
        <v>16.096371000000001</v>
      </c>
      <c r="G722">
        <v>4276307</v>
      </c>
      <c r="O722" s="8" t="str">
        <f t="shared" si="11"/>
        <v>Profit</v>
      </c>
      <c r="P722" s="5" t="str">
        <f>IF(Table2[[#This Row],[Close]]&gt;Table2[[#This Row],[Open]],"profite","loss")</f>
        <v>profite</v>
      </c>
    </row>
    <row r="723" spans="1:16" x14ac:dyDescent="0.3">
      <c r="A723" s="1">
        <v>36377</v>
      </c>
      <c r="B723">
        <v>58.563338999999999</v>
      </c>
      <c r="C723">
        <v>59.137245</v>
      </c>
      <c r="D723">
        <v>57.398890999999999</v>
      </c>
      <c r="E723">
        <v>58.970894000000001</v>
      </c>
      <c r="F723">
        <v>16.051089999999999</v>
      </c>
      <c r="G723">
        <v>5679245</v>
      </c>
      <c r="O723" s="8" t="str">
        <f t="shared" si="11"/>
        <v>Profit</v>
      </c>
      <c r="P723" s="6" t="str">
        <f>IF(Table2[[#This Row],[Close]]&gt;Table2[[#This Row],[Open]],"profite","loss")</f>
        <v>profite</v>
      </c>
    </row>
    <row r="724" spans="1:16" x14ac:dyDescent="0.3">
      <c r="A724" s="1">
        <v>36378</v>
      </c>
      <c r="B724">
        <v>58.363720000000001</v>
      </c>
      <c r="C724">
        <v>59.012481999999999</v>
      </c>
      <c r="D724">
        <v>57.789814</v>
      </c>
      <c r="E724">
        <v>57.781494000000002</v>
      </c>
      <c r="F724">
        <v>15.727353000000001</v>
      </c>
      <c r="G724">
        <v>3836494</v>
      </c>
      <c r="O724" s="8" t="str">
        <f t="shared" si="11"/>
        <v>Loss</v>
      </c>
      <c r="P724" s="5" t="str">
        <f>IF(Table2[[#This Row],[Close]]&gt;Table2[[#This Row],[Open]],"profite","loss")</f>
        <v>loss</v>
      </c>
    </row>
    <row r="725" spans="1:16" x14ac:dyDescent="0.3">
      <c r="A725" s="1">
        <v>36381</v>
      </c>
      <c r="B725">
        <v>58.222321000000001</v>
      </c>
      <c r="C725">
        <v>59.303592999999999</v>
      </c>
      <c r="D725">
        <v>57.814765999999999</v>
      </c>
      <c r="E725">
        <v>58.222321000000001</v>
      </c>
      <c r="F725">
        <v>15.847338000000001</v>
      </c>
      <c r="G725">
        <v>3132230</v>
      </c>
      <c r="O725" s="8" t="str">
        <f t="shared" si="11"/>
        <v>No Change</v>
      </c>
      <c r="P725" s="6" t="str">
        <f>IF(Table2[[#This Row],[Close]]&gt;Table2[[#This Row],[Open]],"profite","loss")</f>
        <v>loss</v>
      </c>
    </row>
    <row r="726" spans="1:16" x14ac:dyDescent="0.3">
      <c r="A726" s="1">
        <v>36382</v>
      </c>
      <c r="B726">
        <v>58.887718</v>
      </c>
      <c r="C726">
        <v>58.929310000000001</v>
      </c>
      <c r="D726">
        <v>57.473751</v>
      </c>
      <c r="E726">
        <v>58.796227000000002</v>
      </c>
      <c r="F726">
        <v>16.003550000000001</v>
      </c>
      <c r="G726">
        <v>3513898</v>
      </c>
      <c r="O726" s="8" t="str">
        <f t="shared" si="11"/>
        <v>Loss</v>
      </c>
      <c r="P726" s="5" t="str">
        <f>IF(Table2[[#This Row],[Close]]&gt;Table2[[#This Row],[Open]],"profite","loss")</f>
        <v>loss</v>
      </c>
    </row>
    <row r="727" spans="1:16" x14ac:dyDescent="0.3">
      <c r="A727" s="1">
        <v>36383</v>
      </c>
      <c r="B727">
        <v>57.972797</v>
      </c>
      <c r="C727">
        <v>58.638195000000003</v>
      </c>
      <c r="D727">
        <v>57.681685999999999</v>
      </c>
      <c r="E727">
        <v>57.723274000000004</v>
      </c>
      <c r="F727">
        <v>15.711508</v>
      </c>
      <c r="G727">
        <v>2094477</v>
      </c>
      <c r="O727" s="8" t="str">
        <f t="shared" si="11"/>
        <v>Loss</v>
      </c>
      <c r="P727" s="6" t="str">
        <f>IF(Table2[[#This Row],[Close]]&gt;Table2[[#This Row],[Open]],"profite","loss")</f>
        <v>loss</v>
      </c>
    </row>
    <row r="728" spans="1:16" x14ac:dyDescent="0.3">
      <c r="A728" s="1">
        <v>36384</v>
      </c>
      <c r="B728">
        <v>58.970894000000001</v>
      </c>
      <c r="C728">
        <v>59.137245</v>
      </c>
      <c r="D728">
        <v>58.055973000000002</v>
      </c>
      <c r="E728">
        <v>58.055973000000002</v>
      </c>
      <c r="F728">
        <v>15.802063</v>
      </c>
      <c r="G728">
        <v>2647123</v>
      </c>
      <c r="O728" s="8" t="str">
        <f t="shared" si="11"/>
        <v>Loss</v>
      </c>
      <c r="P728" s="5" t="str">
        <f>IF(Table2[[#This Row],[Close]]&gt;Table2[[#This Row],[Open]],"profite","loss")</f>
        <v>loss</v>
      </c>
    </row>
    <row r="729" spans="1:16" x14ac:dyDescent="0.3">
      <c r="A729" s="1">
        <v>36385</v>
      </c>
      <c r="B729">
        <v>58.604927000000004</v>
      </c>
      <c r="C729">
        <v>60.351596999999998</v>
      </c>
      <c r="D729">
        <v>58.055973000000002</v>
      </c>
      <c r="E729">
        <v>58.804546000000002</v>
      </c>
      <c r="F729">
        <v>16.005817</v>
      </c>
      <c r="G729">
        <v>2813097</v>
      </c>
      <c r="O729" s="8" t="str">
        <f t="shared" si="11"/>
        <v>Profit</v>
      </c>
      <c r="P729" s="6" t="str">
        <f>IF(Table2[[#This Row],[Close]]&gt;Table2[[#This Row],[Open]],"profite","loss")</f>
        <v>profite</v>
      </c>
    </row>
    <row r="730" spans="1:16" x14ac:dyDescent="0.3">
      <c r="A730" s="1">
        <v>36388</v>
      </c>
      <c r="B730">
        <v>60.975406999999997</v>
      </c>
      <c r="C730">
        <v>61.175026000000003</v>
      </c>
      <c r="D730">
        <v>60.426453000000002</v>
      </c>
      <c r="E730">
        <v>60.210197000000001</v>
      </c>
      <c r="F730">
        <v>16.388414000000001</v>
      </c>
      <c r="G730">
        <v>2631450</v>
      </c>
      <c r="O730" s="8" t="str">
        <f t="shared" si="11"/>
        <v>Loss</v>
      </c>
      <c r="P730" s="5" t="str">
        <f>IF(Table2[[#This Row],[Close]]&gt;Table2[[#This Row],[Open]],"profite","loss")</f>
        <v>loss</v>
      </c>
    </row>
    <row r="731" spans="1:16" x14ac:dyDescent="0.3">
      <c r="A731" s="1">
        <v>36389</v>
      </c>
      <c r="B731">
        <v>61.041946000000003</v>
      </c>
      <c r="C731">
        <v>61.882010999999999</v>
      </c>
      <c r="D731">
        <v>59.885818</v>
      </c>
      <c r="E731">
        <v>60.759151000000003</v>
      </c>
      <c r="F731">
        <v>16.537834</v>
      </c>
      <c r="G731">
        <v>2661153</v>
      </c>
      <c r="O731" s="8" t="str">
        <f t="shared" si="11"/>
        <v>Loss</v>
      </c>
      <c r="P731" s="6" t="str">
        <f>IF(Table2[[#This Row],[Close]]&gt;Table2[[#This Row],[Open]],"profite","loss")</f>
        <v>loss</v>
      </c>
    </row>
    <row r="732" spans="1:16" x14ac:dyDescent="0.3">
      <c r="A732" s="1">
        <v>36390</v>
      </c>
      <c r="B732">
        <v>61.590899999999998</v>
      </c>
      <c r="C732">
        <v>62.198073999999998</v>
      </c>
      <c r="D732">
        <v>60.892231000000002</v>
      </c>
      <c r="E732">
        <v>61.299788999999997</v>
      </c>
      <c r="F732">
        <v>16.684984</v>
      </c>
      <c r="G732">
        <v>3000951</v>
      </c>
      <c r="O732" s="8" t="str">
        <f t="shared" si="11"/>
        <v>Loss</v>
      </c>
      <c r="P732" s="5" t="str">
        <f>IF(Table2[[#This Row],[Close]]&gt;Table2[[#This Row],[Open]],"profite","loss")</f>
        <v>loss</v>
      </c>
    </row>
    <row r="733" spans="1:16" x14ac:dyDescent="0.3">
      <c r="A733" s="1">
        <v>36391</v>
      </c>
      <c r="B733">
        <v>61.116802</v>
      </c>
      <c r="C733">
        <v>61.116802</v>
      </c>
      <c r="D733">
        <v>59.395083999999997</v>
      </c>
      <c r="E733">
        <v>60.933819</v>
      </c>
      <c r="F733">
        <v>16.585374999999999</v>
      </c>
      <c r="G733">
        <v>3078409</v>
      </c>
      <c r="O733" s="8" t="str">
        <f t="shared" si="11"/>
        <v>Loss</v>
      </c>
      <c r="P733" s="6" t="str">
        <f>IF(Table2[[#This Row],[Close]]&gt;Table2[[#This Row],[Open]],"profite","loss")</f>
        <v>loss</v>
      </c>
    </row>
    <row r="734" spans="1:16" x14ac:dyDescent="0.3">
      <c r="A734" s="1">
        <v>36392</v>
      </c>
      <c r="B734">
        <v>59.736103</v>
      </c>
      <c r="C734">
        <v>59.844231000000001</v>
      </c>
      <c r="D734">
        <v>58.812862000000003</v>
      </c>
      <c r="E734">
        <v>59.478259999999999</v>
      </c>
      <c r="F734">
        <v>16.18919</v>
      </c>
      <c r="G734">
        <v>3364085</v>
      </c>
      <c r="O734" s="8" t="str">
        <f t="shared" si="11"/>
        <v>Loss</v>
      </c>
      <c r="P734" s="5" t="str">
        <f>IF(Table2[[#This Row],[Close]]&gt;Table2[[#This Row],[Open]],"profite","loss")</f>
        <v>loss</v>
      </c>
    </row>
    <row r="735" spans="1:16" x14ac:dyDescent="0.3">
      <c r="A735" s="1">
        <v>36395</v>
      </c>
      <c r="B735">
        <v>59.561436</v>
      </c>
      <c r="C735">
        <v>60.501308000000002</v>
      </c>
      <c r="D735">
        <v>59.428356000000001</v>
      </c>
      <c r="E735">
        <v>59.054070000000003</v>
      </c>
      <c r="F735">
        <v>16.073730000000001</v>
      </c>
      <c r="G735">
        <v>1646313</v>
      </c>
      <c r="O735" s="8" t="str">
        <f t="shared" si="11"/>
        <v>Loss</v>
      </c>
      <c r="P735" s="6" t="str">
        <f>IF(Table2[[#This Row],[Close]]&gt;Table2[[#This Row],[Open]],"profite","loss")</f>
        <v>loss</v>
      </c>
    </row>
    <row r="736" spans="1:16" x14ac:dyDescent="0.3">
      <c r="A736" s="1">
        <v>36396</v>
      </c>
      <c r="B736">
        <v>60.709248000000002</v>
      </c>
      <c r="C736">
        <v>61.050261999999996</v>
      </c>
      <c r="D736">
        <v>60.168610000000001</v>
      </c>
      <c r="E736">
        <v>60.043849999999999</v>
      </c>
      <c r="F736">
        <v>16.343133999999999</v>
      </c>
      <c r="G736">
        <v>2362409</v>
      </c>
      <c r="O736" s="8" t="str">
        <f t="shared" si="11"/>
        <v>Loss</v>
      </c>
      <c r="P736" s="5" t="str">
        <f>IF(Table2[[#This Row],[Close]]&gt;Table2[[#This Row],[Open]],"profite","loss")</f>
        <v>loss</v>
      </c>
    </row>
    <row r="737" spans="1:16" x14ac:dyDescent="0.3">
      <c r="A737" s="1">
        <v>36397</v>
      </c>
      <c r="B737">
        <v>60.501308000000002</v>
      </c>
      <c r="C737">
        <v>61.532677</v>
      </c>
      <c r="D737">
        <v>60.384864999999998</v>
      </c>
      <c r="E737">
        <v>60.576168000000003</v>
      </c>
      <c r="F737">
        <v>16.488026000000001</v>
      </c>
      <c r="G737">
        <v>2699944</v>
      </c>
      <c r="O737" s="8" t="str">
        <f t="shared" si="11"/>
        <v>Profit</v>
      </c>
      <c r="P737" s="6" t="str">
        <f>IF(Table2[[#This Row],[Close]]&gt;Table2[[#This Row],[Open]],"profite","loss")</f>
        <v>profite</v>
      </c>
    </row>
    <row r="738" spans="1:16" x14ac:dyDescent="0.3">
      <c r="A738" s="1">
        <v>36398</v>
      </c>
      <c r="B738">
        <v>61.540996999999997</v>
      </c>
      <c r="C738">
        <v>61.798836000000001</v>
      </c>
      <c r="D738">
        <v>60.942135</v>
      </c>
      <c r="E738">
        <v>60.950454999999998</v>
      </c>
      <c r="F738">
        <v>16.589905000000002</v>
      </c>
      <c r="G738">
        <v>2696433</v>
      </c>
      <c r="O738" s="8" t="str">
        <f t="shared" si="11"/>
        <v>Loss</v>
      </c>
      <c r="P738" s="5" t="str">
        <f>IF(Table2[[#This Row],[Close]]&gt;Table2[[#This Row],[Open]],"profite","loss")</f>
        <v>loss</v>
      </c>
    </row>
    <row r="739" spans="1:16" x14ac:dyDescent="0.3">
      <c r="A739" s="1">
        <v>36399</v>
      </c>
      <c r="B739">
        <v>61.050261999999996</v>
      </c>
      <c r="C739">
        <v>62.28125</v>
      </c>
      <c r="D739">
        <v>60.883915000000002</v>
      </c>
      <c r="E739">
        <v>61.407913000000001</v>
      </c>
      <c r="F739">
        <v>16.714417999999998</v>
      </c>
      <c r="G739">
        <v>2930748</v>
      </c>
      <c r="O739" s="8" t="str">
        <f t="shared" si="11"/>
        <v>Profit</v>
      </c>
      <c r="P739" s="6" t="str">
        <f>IF(Table2[[#This Row],[Close]]&gt;Table2[[#This Row],[Open]],"profite","loss")</f>
        <v>profite</v>
      </c>
    </row>
    <row r="740" spans="1:16" x14ac:dyDescent="0.3">
      <c r="A740" s="1">
        <v>36402</v>
      </c>
      <c r="B740">
        <v>61.133437999999998</v>
      </c>
      <c r="C740">
        <v>61.407913000000001</v>
      </c>
      <c r="D740">
        <v>60.468040000000002</v>
      </c>
      <c r="E740">
        <v>61.349693000000002</v>
      </c>
      <c r="F740">
        <v>16.69857</v>
      </c>
      <c r="G740">
        <v>1174626</v>
      </c>
      <c r="O740" s="8" t="str">
        <f t="shared" si="11"/>
        <v>Profit</v>
      </c>
      <c r="P740" s="5" t="str">
        <f>IF(Table2[[#This Row],[Close]]&gt;Table2[[#This Row],[Open]],"profite","loss")</f>
        <v>profite</v>
      </c>
    </row>
    <row r="741" spans="1:16" x14ac:dyDescent="0.3">
      <c r="A741" s="1">
        <v>36403</v>
      </c>
      <c r="B741">
        <v>60.534579999999998</v>
      </c>
      <c r="C741">
        <v>60.592804000000001</v>
      </c>
      <c r="D741">
        <v>59.095657000000003</v>
      </c>
      <c r="E741">
        <v>61.125121999999998</v>
      </c>
      <c r="F741">
        <v>16.637442</v>
      </c>
      <c r="G741">
        <v>2800206</v>
      </c>
      <c r="O741" s="8" t="str">
        <f t="shared" si="11"/>
        <v>Profit</v>
      </c>
      <c r="P741" s="6" t="str">
        <f>IF(Table2[[#This Row],[Close]]&gt;Table2[[#This Row],[Open]],"profite","loss")</f>
        <v>profite</v>
      </c>
    </row>
    <row r="742" spans="1:16" x14ac:dyDescent="0.3">
      <c r="A742" s="1">
        <v>36404</v>
      </c>
      <c r="B742">
        <v>59.345180999999997</v>
      </c>
      <c r="C742">
        <v>59.985626000000003</v>
      </c>
      <c r="D742">
        <v>58.979213999999999</v>
      </c>
      <c r="E742">
        <v>59.095657000000003</v>
      </c>
      <c r="F742">
        <v>16.085052000000001</v>
      </c>
      <c r="G742">
        <v>2223893</v>
      </c>
      <c r="O742" s="8" t="str">
        <f t="shared" si="11"/>
        <v>Loss</v>
      </c>
      <c r="P742" s="5" t="str">
        <f>IF(Table2[[#This Row],[Close]]&gt;Table2[[#This Row],[Open]],"profite","loss")</f>
        <v>loss</v>
      </c>
    </row>
    <row r="743" spans="1:16" x14ac:dyDescent="0.3">
      <c r="A743" s="1">
        <v>36405</v>
      </c>
      <c r="B743">
        <v>59.927405999999998</v>
      </c>
      <c r="C743">
        <v>59.968989999999998</v>
      </c>
      <c r="D743">
        <v>58.355404</v>
      </c>
      <c r="E743">
        <v>59.711151000000001</v>
      </c>
      <c r="F743">
        <v>16.252586000000001</v>
      </c>
      <c r="G743">
        <v>2563745</v>
      </c>
      <c r="O743" s="8" t="str">
        <f t="shared" si="11"/>
        <v>Loss</v>
      </c>
      <c r="P743" s="6" t="str">
        <f>IF(Table2[[#This Row],[Close]]&gt;Table2[[#This Row],[Open]],"profite","loss")</f>
        <v>loss</v>
      </c>
    </row>
    <row r="744" spans="1:16" x14ac:dyDescent="0.3">
      <c r="A744" s="1">
        <v>36406</v>
      </c>
      <c r="B744">
        <v>58.962578000000001</v>
      </c>
      <c r="C744">
        <v>60.010578000000002</v>
      </c>
      <c r="D744">
        <v>58.496799000000003</v>
      </c>
      <c r="E744">
        <v>58.787909999999997</v>
      </c>
      <c r="F744">
        <v>16.001286</v>
      </c>
      <c r="G744">
        <v>2258214</v>
      </c>
      <c r="O744" s="8" t="str">
        <f t="shared" si="11"/>
        <v>Loss</v>
      </c>
      <c r="P744" s="5" t="str">
        <f>IF(Table2[[#This Row],[Close]]&gt;Table2[[#This Row],[Open]],"profite","loss")</f>
        <v>loss</v>
      </c>
    </row>
    <row r="745" spans="1:16" x14ac:dyDescent="0.3">
      <c r="A745" s="1">
        <v>36409</v>
      </c>
      <c r="B745">
        <v>60.276736999999997</v>
      </c>
      <c r="C745">
        <v>60.917183000000001</v>
      </c>
      <c r="D745">
        <v>59.802643000000003</v>
      </c>
      <c r="E745">
        <v>59.968989999999998</v>
      </c>
      <c r="F745">
        <v>16.322759999999999</v>
      </c>
      <c r="G745">
        <v>1509429</v>
      </c>
      <c r="O745" s="8" t="str">
        <f t="shared" si="11"/>
        <v>Loss</v>
      </c>
      <c r="P745" s="6" t="str">
        <f>IF(Table2[[#This Row],[Close]]&gt;Table2[[#This Row],[Open]],"profite","loss")</f>
        <v>loss</v>
      </c>
    </row>
    <row r="746" spans="1:16" x14ac:dyDescent="0.3">
      <c r="A746" s="1">
        <v>36410</v>
      </c>
      <c r="B746">
        <v>60.883915000000002</v>
      </c>
      <c r="C746">
        <v>61.399597</v>
      </c>
      <c r="D746">
        <v>60.492992000000001</v>
      </c>
      <c r="E746">
        <v>60.642707999999999</v>
      </c>
      <c r="F746">
        <v>16.506138</v>
      </c>
      <c r="G746">
        <v>2097118</v>
      </c>
      <c r="O746" s="8" t="str">
        <f t="shared" si="11"/>
        <v>Loss</v>
      </c>
      <c r="P746" s="5" t="str">
        <f>IF(Table2[[#This Row],[Close]]&gt;Table2[[#This Row],[Open]],"profite","loss")</f>
        <v>loss</v>
      </c>
    </row>
    <row r="747" spans="1:16" x14ac:dyDescent="0.3">
      <c r="A747" s="1">
        <v>36411</v>
      </c>
      <c r="B747">
        <v>60.717564000000003</v>
      </c>
      <c r="C747">
        <v>60.767471</v>
      </c>
      <c r="D747">
        <v>59.328544999999998</v>
      </c>
      <c r="E747">
        <v>60.842326999999997</v>
      </c>
      <c r="F747">
        <v>16.560472000000001</v>
      </c>
      <c r="G747">
        <v>1867214</v>
      </c>
      <c r="O747" s="8" t="str">
        <f t="shared" si="11"/>
        <v>Profit</v>
      </c>
      <c r="P747" s="6" t="str">
        <f>IF(Table2[[#This Row],[Close]]&gt;Table2[[#This Row],[Open]],"profite","loss")</f>
        <v>profite</v>
      </c>
    </row>
    <row r="748" spans="1:16" x14ac:dyDescent="0.3">
      <c r="A748" s="1">
        <v>36412</v>
      </c>
      <c r="B748">
        <v>59.752738999999998</v>
      </c>
      <c r="C748">
        <v>60.717564000000003</v>
      </c>
      <c r="D748">
        <v>59.627974999999999</v>
      </c>
      <c r="E748">
        <v>60.226832999999999</v>
      </c>
      <c r="F748">
        <v>16.392938999999998</v>
      </c>
      <c r="G748">
        <v>1928444</v>
      </c>
      <c r="O748" s="8" t="str">
        <f t="shared" si="11"/>
        <v>Profit</v>
      </c>
      <c r="P748" s="5" t="str">
        <f>IF(Table2[[#This Row],[Close]]&gt;Table2[[#This Row],[Open]],"profite","loss")</f>
        <v>profite</v>
      </c>
    </row>
    <row r="749" spans="1:16" x14ac:dyDescent="0.3">
      <c r="A749" s="1">
        <v>36413</v>
      </c>
      <c r="B749">
        <v>59.761054999999999</v>
      </c>
      <c r="C749">
        <v>61.299788999999997</v>
      </c>
      <c r="D749">
        <v>59.270325</v>
      </c>
      <c r="E749">
        <v>59.885818</v>
      </c>
      <c r="F749">
        <v>16.300125000000001</v>
      </c>
      <c r="G749">
        <v>3685711</v>
      </c>
      <c r="O749" s="8" t="str">
        <f t="shared" si="11"/>
        <v>Profit</v>
      </c>
      <c r="P749" s="6" t="str">
        <f>IF(Table2[[#This Row],[Close]]&gt;Table2[[#This Row],[Open]],"profite","loss")</f>
        <v>profite</v>
      </c>
    </row>
    <row r="750" spans="1:16" x14ac:dyDescent="0.3">
      <c r="A750" s="1">
        <v>36416</v>
      </c>
      <c r="B750">
        <v>60.717564000000003</v>
      </c>
      <c r="C750">
        <v>61.782200000000003</v>
      </c>
      <c r="D750">
        <v>60.509627999999999</v>
      </c>
      <c r="E750">
        <v>60.426453000000002</v>
      </c>
      <c r="F750">
        <v>16.447272999999999</v>
      </c>
      <c r="G750">
        <v>2903776</v>
      </c>
      <c r="O750" s="8" t="str">
        <f t="shared" si="11"/>
        <v>Loss</v>
      </c>
      <c r="P750" s="5" t="str">
        <f>IF(Table2[[#This Row],[Close]]&gt;Table2[[#This Row],[Open]],"profite","loss")</f>
        <v>loss</v>
      </c>
    </row>
    <row r="751" spans="1:16" x14ac:dyDescent="0.3">
      <c r="A751" s="1">
        <v>36417</v>
      </c>
      <c r="B751">
        <v>61.091850000000001</v>
      </c>
      <c r="C751">
        <v>62.256298000000001</v>
      </c>
      <c r="D751">
        <v>59.761054999999999</v>
      </c>
      <c r="E751">
        <v>60.509627999999999</v>
      </c>
      <c r="F751">
        <v>16.469915</v>
      </c>
      <c r="G751">
        <v>6135921</v>
      </c>
      <c r="O751" s="8" t="str">
        <f t="shared" si="11"/>
        <v>Loss</v>
      </c>
      <c r="P751" s="6" t="str">
        <f>IF(Table2[[#This Row],[Close]]&gt;Table2[[#This Row],[Open]],"profite","loss")</f>
        <v>loss</v>
      </c>
    </row>
    <row r="752" spans="1:16" x14ac:dyDescent="0.3">
      <c r="A752" s="1">
        <v>36418</v>
      </c>
      <c r="B752">
        <v>59.885818</v>
      </c>
      <c r="C752">
        <v>60.035533999999998</v>
      </c>
      <c r="D752">
        <v>58.430259999999997</v>
      </c>
      <c r="E752">
        <v>59.885818</v>
      </c>
      <c r="F752">
        <v>16.300125000000001</v>
      </c>
      <c r="G752">
        <v>5357448</v>
      </c>
      <c r="O752" s="8" t="str">
        <f t="shared" si="11"/>
        <v>No Change</v>
      </c>
      <c r="P752" s="5" t="str">
        <f>IF(Table2[[#This Row],[Close]]&gt;Table2[[#This Row],[Open]],"profite","loss")</f>
        <v>loss</v>
      </c>
    </row>
    <row r="753" spans="1:16" x14ac:dyDescent="0.3">
      <c r="A753" s="1">
        <v>36419</v>
      </c>
      <c r="B753">
        <v>58.214005</v>
      </c>
      <c r="C753">
        <v>58.214005</v>
      </c>
      <c r="D753">
        <v>56.142955999999998</v>
      </c>
      <c r="E753">
        <v>58.929310000000001</v>
      </c>
      <c r="F753">
        <v>16.039776</v>
      </c>
      <c r="G753">
        <v>9224126</v>
      </c>
      <c r="O753" s="8" t="str">
        <f t="shared" si="11"/>
        <v>Profit</v>
      </c>
      <c r="P753" s="6" t="str">
        <f>IF(Table2[[#This Row],[Close]]&gt;Table2[[#This Row],[Open]],"profite","loss")</f>
        <v>profite</v>
      </c>
    </row>
    <row r="754" spans="1:16" x14ac:dyDescent="0.3">
      <c r="A754" s="1">
        <v>36420</v>
      </c>
      <c r="B754">
        <v>56.808352999999997</v>
      </c>
      <c r="C754">
        <v>57.373939999999997</v>
      </c>
      <c r="D754">
        <v>55.99324</v>
      </c>
      <c r="E754">
        <v>56.142955999999998</v>
      </c>
      <c r="F754">
        <v>15.281363000000001</v>
      </c>
      <c r="G754">
        <v>9696207</v>
      </c>
      <c r="O754" s="8" t="str">
        <f t="shared" si="11"/>
        <v>Loss</v>
      </c>
      <c r="P754" s="5" t="str">
        <f>IF(Table2[[#This Row],[Close]]&gt;Table2[[#This Row],[Open]],"profite","loss")</f>
        <v>loss</v>
      </c>
    </row>
    <row r="755" spans="1:16" x14ac:dyDescent="0.3">
      <c r="A755" s="1">
        <v>36423</v>
      </c>
      <c r="B755">
        <v>57.182636000000002</v>
      </c>
      <c r="C755">
        <v>57.723274000000004</v>
      </c>
      <c r="D755">
        <v>56.683590000000002</v>
      </c>
      <c r="E755">
        <v>56.725178</v>
      </c>
      <c r="F755">
        <v>15.439838</v>
      </c>
      <c r="G755">
        <v>3871022</v>
      </c>
      <c r="O755" s="8" t="str">
        <f t="shared" si="11"/>
        <v>Loss</v>
      </c>
      <c r="P755" s="6" t="str">
        <f>IF(Table2[[#This Row],[Close]]&gt;Table2[[#This Row],[Open]],"profite","loss")</f>
        <v>loss</v>
      </c>
    </row>
    <row r="756" spans="1:16" x14ac:dyDescent="0.3">
      <c r="A756" s="1">
        <v>36424</v>
      </c>
      <c r="B756">
        <v>57.473751</v>
      </c>
      <c r="C756">
        <v>57.79813</v>
      </c>
      <c r="D756">
        <v>56.151271999999999</v>
      </c>
      <c r="E756">
        <v>57.207588000000001</v>
      </c>
      <c r="F756">
        <v>15.571144</v>
      </c>
      <c r="G756">
        <v>3075877</v>
      </c>
      <c r="O756" s="8" t="str">
        <f t="shared" si="11"/>
        <v>Loss</v>
      </c>
      <c r="P756" s="5" t="str">
        <f>IF(Table2[[#This Row],[Close]]&gt;Table2[[#This Row],[Open]],"profite","loss")</f>
        <v>loss</v>
      </c>
    </row>
    <row r="757" spans="1:16" x14ac:dyDescent="0.3">
      <c r="A757" s="1">
        <v>36425</v>
      </c>
      <c r="B757">
        <v>56.018191999999999</v>
      </c>
      <c r="C757">
        <v>56.700226000000001</v>
      </c>
      <c r="D757">
        <v>55.519142000000002</v>
      </c>
      <c r="E757">
        <v>56.392479000000002</v>
      </c>
      <c r="F757">
        <v>15.349284000000001</v>
      </c>
      <c r="G757">
        <v>2710149</v>
      </c>
      <c r="O757" s="8" t="str">
        <f t="shared" si="11"/>
        <v>Profit</v>
      </c>
      <c r="P757" s="6" t="str">
        <f>IF(Table2[[#This Row],[Close]]&gt;Table2[[#This Row],[Open]],"profite","loss")</f>
        <v>profite</v>
      </c>
    </row>
    <row r="758" spans="1:16" x14ac:dyDescent="0.3">
      <c r="A758" s="1">
        <v>36426</v>
      </c>
      <c r="B758">
        <v>55.643906000000001</v>
      </c>
      <c r="C758">
        <v>55.718761000000001</v>
      </c>
      <c r="D758">
        <v>53.564537000000001</v>
      </c>
      <c r="E758">
        <v>55.535778000000001</v>
      </c>
      <c r="F758">
        <v>15.116104</v>
      </c>
      <c r="G758">
        <v>6269744</v>
      </c>
      <c r="O758" s="8" t="str">
        <f t="shared" si="11"/>
        <v>Loss</v>
      </c>
      <c r="P758" s="5" t="str">
        <f>IF(Table2[[#This Row],[Close]]&gt;Table2[[#This Row],[Open]],"profite","loss")</f>
        <v>loss</v>
      </c>
    </row>
    <row r="759" spans="1:16" x14ac:dyDescent="0.3">
      <c r="A759" s="1">
        <v>36427</v>
      </c>
      <c r="B759">
        <v>52.732787999999999</v>
      </c>
      <c r="C759">
        <v>54.645809</v>
      </c>
      <c r="D759">
        <v>52.616343999999998</v>
      </c>
      <c r="E759">
        <v>53.797423999999999</v>
      </c>
      <c r="F759">
        <v>14.642944</v>
      </c>
      <c r="G759">
        <v>5357639</v>
      </c>
      <c r="O759" s="8" t="str">
        <f t="shared" si="11"/>
        <v>Profit</v>
      </c>
      <c r="P759" s="6" t="str">
        <f>IF(Table2[[#This Row],[Close]]&gt;Table2[[#This Row],[Open]],"profite","loss")</f>
        <v>profite</v>
      </c>
    </row>
    <row r="760" spans="1:16" x14ac:dyDescent="0.3">
      <c r="A760" s="1">
        <v>36430</v>
      </c>
      <c r="B760">
        <v>54.146759000000003</v>
      </c>
      <c r="C760">
        <v>55.56073</v>
      </c>
      <c r="D760">
        <v>54.113491000000003</v>
      </c>
      <c r="E760">
        <v>53.855648000000002</v>
      </c>
      <c r="F760">
        <v>14.65879</v>
      </c>
      <c r="G760">
        <v>3602042</v>
      </c>
      <c r="O760" s="8" t="str">
        <f t="shared" si="11"/>
        <v>Loss</v>
      </c>
      <c r="P760" s="5" t="str">
        <f>IF(Table2[[#This Row],[Close]]&gt;Table2[[#This Row],[Open]],"profite","loss")</f>
        <v>loss</v>
      </c>
    </row>
    <row r="761" spans="1:16" x14ac:dyDescent="0.3">
      <c r="A761" s="1">
        <v>36431</v>
      </c>
      <c r="B761">
        <v>55.727080999999998</v>
      </c>
      <c r="C761">
        <v>55.727080999999998</v>
      </c>
      <c r="D761">
        <v>53.897235999999999</v>
      </c>
      <c r="E761">
        <v>55.42765</v>
      </c>
      <c r="F761">
        <v>15.086672</v>
      </c>
      <c r="G761">
        <v>3749514</v>
      </c>
      <c r="O761" s="8" t="str">
        <f t="shared" si="11"/>
        <v>Loss</v>
      </c>
      <c r="P761" s="6" t="str">
        <f>IF(Table2[[#This Row],[Close]]&gt;Table2[[#This Row],[Open]],"profite","loss")</f>
        <v>loss</v>
      </c>
    </row>
    <row r="762" spans="1:16" x14ac:dyDescent="0.3">
      <c r="A762" s="1">
        <v>36432</v>
      </c>
      <c r="B762">
        <v>54.387965999999999</v>
      </c>
      <c r="C762">
        <v>54.587584999999997</v>
      </c>
      <c r="D762">
        <v>53.897235999999999</v>
      </c>
      <c r="E762">
        <v>53.997044000000002</v>
      </c>
      <c r="F762">
        <v>14.697276</v>
      </c>
      <c r="G762">
        <v>2668396</v>
      </c>
      <c r="O762" s="8" t="str">
        <f t="shared" si="11"/>
        <v>Loss</v>
      </c>
      <c r="P762" s="5" t="str">
        <f>IF(Table2[[#This Row],[Close]]&gt;Table2[[#This Row],[Open]],"profite","loss")</f>
        <v>loss</v>
      </c>
    </row>
    <row r="763" spans="1:16" x14ac:dyDescent="0.3">
      <c r="A763" s="1">
        <v>36433</v>
      </c>
      <c r="B763">
        <v>54.105170999999999</v>
      </c>
      <c r="C763">
        <v>54.313110000000002</v>
      </c>
      <c r="D763">
        <v>53.439774</v>
      </c>
      <c r="E763">
        <v>54.396281999999999</v>
      </c>
      <c r="F763">
        <v>14.805944</v>
      </c>
      <c r="G763">
        <v>3181500</v>
      </c>
      <c r="O763" s="8" t="str">
        <f t="shared" si="11"/>
        <v>Profit</v>
      </c>
      <c r="P763" s="6" t="str">
        <f>IF(Table2[[#This Row],[Close]]&gt;Table2[[#This Row],[Open]],"profite","loss")</f>
        <v>profite</v>
      </c>
    </row>
    <row r="764" spans="1:16" x14ac:dyDescent="0.3">
      <c r="A764" s="1">
        <v>36434</v>
      </c>
      <c r="B764">
        <v>54.479458000000001</v>
      </c>
      <c r="C764">
        <v>54.728985000000002</v>
      </c>
      <c r="D764">
        <v>53.656028999999997</v>
      </c>
      <c r="E764">
        <v>54.146759000000003</v>
      </c>
      <c r="F764">
        <v>14.738028999999999</v>
      </c>
      <c r="G764">
        <v>3092765</v>
      </c>
      <c r="O764" s="8" t="str">
        <f t="shared" si="11"/>
        <v>Loss</v>
      </c>
      <c r="P764" s="5" t="str">
        <f>IF(Table2[[#This Row],[Close]]&gt;Table2[[#This Row],[Open]],"profite","loss")</f>
        <v>loss</v>
      </c>
    </row>
    <row r="765" spans="1:16" x14ac:dyDescent="0.3">
      <c r="A765" s="1">
        <v>36437</v>
      </c>
      <c r="B765">
        <v>54.321426000000002</v>
      </c>
      <c r="C765">
        <v>55.435966000000001</v>
      </c>
      <c r="D765">
        <v>54.229934999999998</v>
      </c>
      <c r="E765">
        <v>54.188347</v>
      </c>
      <c r="F765">
        <v>14.749345</v>
      </c>
      <c r="G765">
        <v>2297830</v>
      </c>
      <c r="O765" s="8" t="str">
        <f t="shared" si="11"/>
        <v>Loss</v>
      </c>
      <c r="P765" s="6" t="str">
        <f>IF(Table2[[#This Row],[Close]]&gt;Table2[[#This Row],[Open]],"profite","loss")</f>
        <v>loss</v>
      </c>
    </row>
    <row r="766" spans="1:16" x14ac:dyDescent="0.3">
      <c r="A766" s="1">
        <v>36438</v>
      </c>
      <c r="B766">
        <v>55.228031000000001</v>
      </c>
      <c r="C766">
        <v>57.166004000000001</v>
      </c>
      <c r="D766">
        <v>55.228031000000001</v>
      </c>
      <c r="E766">
        <v>54.820476999999997</v>
      </c>
      <c r="F766">
        <v>14.921403</v>
      </c>
      <c r="G766">
        <v>5326875</v>
      </c>
      <c r="O766" s="8" t="str">
        <f t="shared" si="11"/>
        <v>Loss</v>
      </c>
      <c r="P766" s="5" t="str">
        <f>IF(Table2[[#This Row],[Close]]&gt;Table2[[#This Row],[Open]],"profite","loss")</f>
        <v>loss</v>
      </c>
    </row>
    <row r="767" spans="1:16" x14ac:dyDescent="0.3">
      <c r="A767" s="1">
        <v>36439</v>
      </c>
      <c r="B767">
        <v>56.392479000000002</v>
      </c>
      <c r="C767">
        <v>56.434066999999999</v>
      </c>
      <c r="D767">
        <v>55.485874000000003</v>
      </c>
      <c r="E767">
        <v>56.766765999999997</v>
      </c>
      <c r="F767">
        <v>15.451159000000001</v>
      </c>
      <c r="G767">
        <v>2579395</v>
      </c>
      <c r="O767" s="8" t="str">
        <f t="shared" si="11"/>
        <v>Profit</v>
      </c>
      <c r="P767" s="6" t="str">
        <f>IF(Table2[[#This Row],[Close]]&gt;Table2[[#This Row],[Open]],"profite","loss")</f>
        <v>profite</v>
      </c>
    </row>
    <row r="768" spans="1:16" x14ac:dyDescent="0.3">
      <c r="A768" s="1">
        <v>36440</v>
      </c>
      <c r="B768">
        <v>56.558826000000003</v>
      </c>
      <c r="C768">
        <v>57.332352</v>
      </c>
      <c r="D768">
        <v>56.434066999999999</v>
      </c>
      <c r="E768">
        <v>56.059780000000003</v>
      </c>
      <c r="F768">
        <v>15.258727</v>
      </c>
      <c r="G768">
        <v>2865301</v>
      </c>
      <c r="O768" s="8" t="str">
        <f t="shared" si="11"/>
        <v>Loss</v>
      </c>
      <c r="P768" s="5" t="str">
        <f>IF(Table2[[#This Row],[Close]]&gt;Table2[[#This Row],[Open]],"profite","loss")</f>
        <v>loss</v>
      </c>
    </row>
    <row r="769" spans="1:16" x14ac:dyDescent="0.3">
      <c r="A769" s="1">
        <v>36441</v>
      </c>
      <c r="B769">
        <v>56.974701000000003</v>
      </c>
      <c r="C769">
        <v>58.222321000000001</v>
      </c>
      <c r="D769">
        <v>56.625366</v>
      </c>
      <c r="E769">
        <v>57.141052000000002</v>
      </c>
      <c r="F769">
        <v>15.553034</v>
      </c>
      <c r="G769">
        <v>3170886</v>
      </c>
      <c r="O769" s="8" t="str">
        <f t="shared" si="11"/>
        <v>Profit</v>
      </c>
      <c r="P769" s="6" t="str">
        <f>IF(Table2[[#This Row],[Close]]&gt;Table2[[#This Row],[Open]],"profite","loss")</f>
        <v>profite</v>
      </c>
    </row>
    <row r="770" spans="1:16" x14ac:dyDescent="0.3">
      <c r="A770" s="1">
        <v>36444</v>
      </c>
      <c r="B770">
        <v>57.299084000000001</v>
      </c>
      <c r="C770">
        <v>57.906258000000001</v>
      </c>
      <c r="D770">
        <v>56.808352999999997</v>
      </c>
      <c r="E770">
        <v>56.650317999999999</v>
      </c>
      <c r="F770">
        <v>15.419463</v>
      </c>
      <c r="G770">
        <v>2048067</v>
      </c>
      <c r="O770" s="8" t="str">
        <f t="shared" si="11"/>
        <v>Loss</v>
      </c>
      <c r="P770" s="5" t="str">
        <f>IF(Table2[[#This Row],[Close]]&gt;Table2[[#This Row],[Open]],"profite","loss")</f>
        <v>loss</v>
      </c>
    </row>
    <row r="771" spans="1:16" x14ac:dyDescent="0.3">
      <c r="A771" s="1">
        <v>36445</v>
      </c>
      <c r="B771">
        <v>57.764862000000001</v>
      </c>
      <c r="C771">
        <v>57.989432999999998</v>
      </c>
      <c r="D771">
        <v>56.642001999999998</v>
      </c>
      <c r="E771">
        <v>57.764862000000001</v>
      </c>
      <c r="F771">
        <v>15.722830999999999</v>
      </c>
      <c r="G771">
        <v>1837698</v>
      </c>
      <c r="O771" s="8" t="str">
        <f t="shared" ref="O771:O829" si="12">IF(E771&gt;B771,"Profit",IF(E771&lt;B771,"Loss","No Change"))</f>
        <v>No Change</v>
      </c>
      <c r="P771" s="6" t="str">
        <f>IF(Table2[[#This Row],[Close]]&gt;Table2[[#This Row],[Open]],"profite","loss")</f>
        <v>loss</v>
      </c>
    </row>
    <row r="772" spans="1:16" x14ac:dyDescent="0.3">
      <c r="A772" s="1">
        <v>36446</v>
      </c>
      <c r="B772">
        <v>56.392479000000002</v>
      </c>
      <c r="C772">
        <v>56.758445999999999</v>
      </c>
      <c r="D772">
        <v>56.151271999999999</v>
      </c>
      <c r="E772">
        <v>56.816668999999997</v>
      </c>
      <c r="F772">
        <v>15.464741</v>
      </c>
      <c r="G772">
        <v>1902369</v>
      </c>
      <c r="O772" s="8" t="str">
        <f t="shared" si="12"/>
        <v>Profit</v>
      </c>
      <c r="P772" s="5" t="str">
        <f>IF(Table2[[#This Row],[Close]]&gt;Table2[[#This Row],[Open]],"profite","loss")</f>
        <v>profite</v>
      </c>
    </row>
    <row r="773" spans="1:16" x14ac:dyDescent="0.3">
      <c r="A773" s="1">
        <v>36447</v>
      </c>
      <c r="B773">
        <v>56.142955999999998</v>
      </c>
      <c r="C773">
        <v>59.212100999999997</v>
      </c>
      <c r="D773">
        <v>56.142955999999998</v>
      </c>
      <c r="E773">
        <v>56.558826000000003</v>
      </c>
      <c r="F773">
        <v>15.394558999999999</v>
      </c>
      <c r="G773">
        <v>8617335</v>
      </c>
      <c r="O773" s="8" t="str">
        <f t="shared" si="12"/>
        <v>Profit</v>
      </c>
      <c r="P773" s="6" t="str">
        <f>IF(Table2[[#This Row],[Close]]&gt;Table2[[#This Row],[Open]],"profite","loss")</f>
        <v>profite</v>
      </c>
    </row>
    <row r="774" spans="1:16" x14ac:dyDescent="0.3">
      <c r="A774" s="1">
        <v>36448</v>
      </c>
      <c r="B774">
        <v>57.390574999999998</v>
      </c>
      <c r="C774">
        <v>57.79813</v>
      </c>
      <c r="D774">
        <v>55.984921</v>
      </c>
      <c r="E774">
        <v>57.556922999999998</v>
      </c>
      <c r="F774">
        <v>15.666226999999999</v>
      </c>
      <c r="G774">
        <v>4813714</v>
      </c>
      <c r="O774" s="8" t="str">
        <f t="shared" si="12"/>
        <v>Profit</v>
      </c>
      <c r="P774" s="5" t="str">
        <f>IF(Table2[[#This Row],[Close]]&gt;Table2[[#This Row],[Open]],"profite","loss")</f>
        <v>profite</v>
      </c>
    </row>
    <row r="775" spans="1:16" x14ac:dyDescent="0.3">
      <c r="A775" s="1">
        <v>36451</v>
      </c>
      <c r="B775">
        <v>56.018191999999999</v>
      </c>
      <c r="C775">
        <v>56.392479000000002</v>
      </c>
      <c r="D775">
        <v>55.036727999999997</v>
      </c>
      <c r="E775">
        <v>56.858257000000002</v>
      </c>
      <c r="F775">
        <v>15.476061</v>
      </c>
      <c r="G775">
        <v>2371116</v>
      </c>
      <c r="O775" s="8" t="str">
        <f t="shared" si="12"/>
        <v>Profit</v>
      </c>
      <c r="P775" s="6" t="str">
        <f>IF(Table2[[#This Row],[Close]]&gt;Table2[[#This Row],[Open]],"profite","loss")</f>
        <v>profite</v>
      </c>
    </row>
    <row r="776" spans="1:16" x14ac:dyDescent="0.3">
      <c r="A776" s="1">
        <v>36452</v>
      </c>
      <c r="B776">
        <v>55.851841</v>
      </c>
      <c r="C776">
        <v>57.789814</v>
      </c>
      <c r="D776">
        <v>55.727080999999998</v>
      </c>
      <c r="E776">
        <v>55.494190000000003</v>
      </c>
      <c r="F776">
        <v>15.104780999999999</v>
      </c>
      <c r="G776">
        <v>2769220</v>
      </c>
      <c r="O776" s="8" t="str">
        <f t="shared" si="12"/>
        <v>Loss</v>
      </c>
      <c r="P776" s="5" t="str">
        <f>IF(Table2[[#This Row],[Close]]&gt;Table2[[#This Row],[Open]],"profite","loss")</f>
        <v>loss</v>
      </c>
    </row>
    <row r="777" spans="1:16" x14ac:dyDescent="0.3">
      <c r="A777" s="1">
        <v>36453</v>
      </c>
      <c r="B777">
        <v>57.473751</v>
      </c>
      <c r="C777">
        <v>58.555019000000001</v>
      </c>
      <c r="D777">
        <v>57.016289</v>
      </c>
      <c r="E777">
        <v>57.548606999999997</v>
      </c>
      <c r="F777">
        <v>15.663964</v>
      </c>
      <c r="G777">
        <v>2166995</v>
      </c>
      <c r="O777" s="8" t="str">
        <f t="shared" si="12"/>
        <v>Profit</v>
      </c>
      <c r="P777" s="6" t="str">
        <f>IF(Table2[[#This Row],[Close]]&gt;Table2[[#This Row],[Open]],"profite","loss")</f>
        <v>profite</v>
      </c>
    </row>
    <row r="778" spans="1:16" x14ac:dyDescent="0.3">
      <c r="A778" s="1">
        <v>36454</v>
      </c>
      <c r="B778">
        <v>57.79813</v>
      </c>
      <c r="C778">
        <v>57.964480999999999</v>
      </c>
      <c r="D778">
        <v>56.558826000000003</v>
      </c>
      <c r="E778">
        <v>57.598511000000002</v>
      </c>
      <c r="F778">
        <v>15.677548</v>
      </c>
      <c r="G778">
        <v>1657357</v>
      </c>
      <c r="O778" s="8" t="str">
        <f t="shared" si="12"/>
        <v>Loss</v>
      </c>
      <c r="P778" s="5" t="str">
        <f>IF(Table2[[#This Row],[Close]]&gt;Table2[[#This Row],[Open]],"profite","loss")</f>
        <v>loss</v>
      </c>
    </row>
    <row r="779" spans="1:16" x14ac:dyDescent="0.3">
      <c r="A779" s="1">
        <v>36455</v>
      </c>
      <c r="B779">
        <v>57.398890999999999</v>
      </c>
      <c r="C779">
        <v>59.045752999999998</v>
      </c>
      <c r="D779">
        <v>57.398890999999999</v>
      </c>
      <c r="E779">
        <v>57.141052000000002</v>
      </c>
      <c r="F779">
        <v>15.553034</v>
      </c>
      <c r="G779">
        <v>2292467</v>
      </c>
      <c r="O779" s="8" t="str">
        <f t="shared" si="12"/>
        <v>Loss</v>
      </c>
      <c r="P779" s="6" t="str">
        <f>IF(Table2[[#This Row],[Close]]&gt;Table2[[#This Row],[Open]],"profite","loss")</f>
        <v>loss</v>
      </c>
    </row>
    <row r="780" spans="1:16" x14ac:dyDescent="0.3">
      <c r="A780" s="1">
        <v>36458</v>
      </c>
      <c r="B780">
        <v>58.846133999999999</v>
      </c>
      <c r="C780">
        <v>59.719467000000002</v>
      </c>
      <c r="D780">
        <v>58.272227999999998</v>
      </c>
      <c r="E780">
        <v>58.887718</v>
      </c>
      <c r="F780">
        <v>16.028454</v>
      </c>
      <c r="G780">
        <v>2187043</v>
      </c>
      <c r="O780" s="8" t="str">
        <f t="shared" si="12"/>
        <v>Profit</v>
      </c>
      <c r="P780" s="5" t="str">
        <f>IF(Table2[[#This Row],[Close]]&gt;Table2[[#This Row],[Open]],"profite","loss")</f>
        <v>profite</v>
      </c>
    </row>
    <row r="781" spans="1:16" x14ac:dyDescent="0.3">
      <c r="A781" s="1">
        <v>36459</v>
      </c>
      <c r="B781">
        <v>58.513435000000001</v>
      </c>
      <c r="C781">
        <v>60.235149</v>
      </c>
      <c r="D781">
        <v>58.513435000000001</v>
      </c>
      <c r="E781">
        <v>58.721370999999998</v>
      </c>
      <c r="F781">
        <v>15.983177</v>
      </c>
      <c r="G781">
        <v>4055452</v>
      </c>
      <c r="O781" s="8" t="str">
        <f t="shared" si="12"/>
        <v>Profit</v>
      </c>
      <c r="P781" s="6" t="str">
        <f>IF(Table2[[#This Row],[Close]]&gt;Table2[[#This Row],[Open]],"profite","loss")</f>
        <v>profite</v>
      </c>
    </row>
    <row r="782" spans="1:16" x14ac:dyDescent="0.3">
      <c r="A782" s="1">
        <v>36460</v>
      </c>
      <c r="B782">
        <v>59.802643000000003</v>
      </c>
      <c r="C782">
        <v>60.409816999999997</v>
      </c>
      <c r="D782">
        <v>59.536484000000002</v>
      </c>
      <c r="E782">
        <v>60.127026000000001</v>
      </c>
      <c r="F782">
        <v>16.365776</v>
      </c>
      <c r="G782">
        <v>2461057</v>
      </c>
      <c r="O782" s="8" t="str">
        <f t="shared" si="12"/>
        <v>Profit</v>
      </c>
      <c r="P782" s="5" t="str">
        <f>IF(Table2[[#This Row],[Close]]&gt;Table2[[#This Row],[Open]],"profite","loss")</f>
        <v>profite</v>
      </c>
    </row>
    <row r="783" spans="1:16" x14ac:dyDescent="0.3">
      <c r="A783" s="1">
        <v>36461</v>
      </c>
      <c r="B783">
        <v>60.102074000000002</v>
      </c>
      <c r="C783">
        <v>61.499409</v>
      </c>
      <c r="D783">
        <v>59.228737000000002</v>
      </c>
      <c r="E783">
        <v>59.802643000000003</v>
      </c>
      <c r="F783">
        <v>16.277483</v>
      </c>
      <c r="G783">
        <v>3787064</v>
      </c>
      <c r="O783" s="8" t="str">
        <f t="shared" si="12"/>
        <v>Loss</v>
      </c>
      <c r="P783" s="6" t="str">
        <f>IF(Table2[[#This Row],[Close]]&gt;Table2[[#This Row],[Open]],"profite","loss")</f>
        <v>loss</v>
      </c>
    </row>
    <row r="784" spans="1:16" x14ac:dyDescent="0.3">
      <c r="A784" s="1">
        <v>36462</v>
      </c>
      <c r="B784">
        <v>61.466137000000003</v>
      </c>
      <c r="C784">
        <v>62.089947000000002</v>
      </c>
      <c r="D784">
        <v>61.141753999999999</v>
      </c>
      <c r="E784">
        <v>61.175026000000003</v>
      </c>
      <c r="F784">
        <v>16.651028</v>
      </c>
      <c r="G784">
        <v>3818328</v>
      </c>
      <c r="O784" s="8" t="str">
        <f t="shared" si="12"/>
        <v>Loss</v>
      </c>
      <c r="P784" s="5" t="str">
        <f>IF(Table2[[#This Row],[Close]]&gt;Table2[[#This Row],[Open]],"profite","loss")</f>
        <v>loss</v>
      </c>
    </row>
    <row r="785" spans="1:16" x14ac:dyDescent="0.3">
      <c r="A785" s="1">
        <v>36465</v>
      </c>
      <c r="B785">
        <v>61.540996999999997</v>
      </c>
      <c r="C785">
        <v>62.089947000000002</v>
      </c>
      <c r="D785">
        <v>61.050261999999996</v>
      </c>
      <c r="E785">
        <v>61.391280999999999</v>
      </c>
      <c r="F785">
        <v>16.709892</v>
      </c>
      <c r="G785">
        <v>1258285</v>
      </c>
      <c r="O785" s="8" t="str">
        <f t="shared" si="12"/>
        <v>Loss</v>
      </c>
      <c r="P785" s="6" t="str">
        <f>IF(Table2[[#This Row],[Close]]&gt;Table2[[#This Row],[Open]],"profite","loss")</f>
        <v>loss</v>
      </c>
    </row>
    <row r="786" spans="1:16" x14ac:dyDescent="0.3">
      <c r="A786" s="1">
        <v>36466</v>
      </c>
      <c r="B786">
        <v>60.717564000000003</v>
      </c>
      <c r="C786">
        <v>60.717564000000003</v>
      </c>
      <c r="D786">
        <v>59.603023999999998</v>
      </c>
      <c r="E786">
        <v>61.133437999999998</v>
      </c>
      <c r="F786">
        <v>16.639707999999999</v>
      </c>
      <c r="G786">
        <v>3161898</v>
      </c>
      <c r="O786" s="8" t="str">
        <f t="shared" si="12"/>
        <v>Profit</v>
      </c>
      <c r="P786" s="5" t="str">
        <f>IF(Table2[[#This Row],[Close]]&gt;Table2[[#This Row],[Open]],"profite","loss")</f>
        <v>profite</v>
      </c>
    </row>
    <row r="787" spans="1:16" x14ac:dyDescent="0.3">
      <c r="A787" s="1">
        <v>36467</v>
      </c>
      <c r="B787">
        <v>59.719467000000002</v>
      </c>
      <c r="C787">
        <v>59.844231000000001</v>
      </c>
      <c r="D787">
        <v>59.295276999999999</v>
      </c>
      <c r="E787">
        <v>60.077117999999999</v>
      </c>
      <c r="F787">
        <v>16.352195999999999</v>
      </c>
      <c r="G787">
        <v>2421032</v>
      </c>
      <c r="O787" s="8" t="str">
        <f t="shared" si="12"/>
        <v>Profit</v>
      </c>
      <c r="P787" s="6" t="str">
        <f>IF(Table2[[#This Row],[Close]]&gt;Table2[[#This Row],[Open]],"profite","loss")</f>
        <v>profite</v>
      </c>
    </row>
    <row r="788" spans="1:16" x14ac:dyDescent="0.3">
      <c r="A788" s="1">
        <v>36468</v>
      </c>
      <c r="B788">
        <v>59.719467000000002</v>
      </c>
      <c r="C788">
        <v>60.592804000000001</v>
      </c>
      <c r="D788">
        <v>59.070704999999997</v>
      </c>
      <c r="E788">
        <v>59.594707</v>
      </c>
      <c r="F788">
        <v>16.220884000000002</v>
      </c>
      <c r="G788">
        <v>2861259</v>
      </c>
      <c r="O788" s="8" t="str">
        <f t="shared" si="12"/>
        <v>Loss</v>
      </c>
      <c r="P788" s="5" t="str">
        <f>IF(Table2[[#This Row],[Close]]&gt;Table2[[#This Row],[Open]],"profite","loss")</f>
        <v>loss</v>
      </c>
    </row>
    <row r="789" spans="1:16" x14ac:dyDescent="0.3">
      <c r="A789" s="1">
        <v>36469</v>
      </c>
      <c r="B789">
        <v>60.168610000000001</v>
      </c>
      <c r="C789">
        <v>61.133437999999998</v>
      </c>
      <c r="D789">
        <v>60.093753999999997</v>
      </c>
      <c r="E789">
        <v>59.927405999999998</v>
      </c>
      <c r="F789">
        <v>16.311440999999999</v>
      </c>
      <c r="G789">
        <v>2290547</v>
      </c>
      <c r="O789" s="8" t="str">
        <f t="shared" si="12"/>
        <v>Loss</v>
      </c>
      <c r="P789" s="6" t="str">
        <f>IF(Table2[[#This Row],[Close]]&gt;Table2[[#This Row],[Open]],"profite","loss")</f>
        <v>loss</v>
      </c>
    </row>
    <row r="790" spans="1:16" x14ac:dyDescent="0.3">
      <c r="A790" s="1">
        <v>36472</v>
      </c>
      <c r="B790">
        <v>60.135342000000001</v>
      </c>
      <c r="C790">
        <v>60.675975999999999</v>
      </c>
      <c r="D790">
        <v>59.494895999999997</v>
      </c>
      <c r="E790">
        <v>60.093753999999997</v>
      </c>
      <c r="F790">
        <v>16.356719999999999</v>
      </c>
      <c r="G790">
        <v>1568722</v>
      </c>
      <c r="O790" s="8" t="str">
        <f t="shared" si="12"/>
        <v>Loss</v>
      </c>
      <c r="P790" s="5" t="str">
        <f>IF(Table2[[#This Row],[Close]]&gt;Table2[[#This Row],[Open]],"profite","loss")</f>
        <v>loss</v>
      </c>
    </row>
    <row r="791" spans="1:16" x14ac:dyDescent="0.3">
      <c r="A791" s="1">
        <v>36473</v>
      </c>
      <c r="B791">
        <v>60.052166</v>
      </c>
      <c r="C791">
        <v>60.409816999999997</v>
      </c>
      <c r="D791">
        <v>59.145561000000001</v>
      </c>
      <c r="E791">
        <v>60.093753999999997</v>
      </c>
      <c r="F791">
        <v>16.356719999999999</v>
      </c>
      <c r="G791">
        <v>2513393</v>
      </c>
      <c r="O791" s="8" t="str">
        <f t="shared" si="12"/>
        <v>Profit</v>
      </c>
      <c r="P791" s="6" t="str">
        <f>IF(Table2[[#This Row],[Close]]&gt;Table2[[#This Row],[Open]],"profite","loss")</f>
        <v>profite</v>
      </c>
    </row>
    <row r="792" spans="1:16" x14ac:dyDescent="0.3">
      <c r="A792" s="1">
        <v>36474</v>
      </c>
      <c r="B792">
        <v>59.270325</v>
      </c>
      <c r="C792">
        <v>59.677878999999997</v>
      </c>
      <c r="D792">
        <v>58.430259999999997</v>
      </c>
      <c r="E792">
        <v>59.395083999999997</v>
      </c>
      <c r="F792">
        <v>16.166551999999999</v>
      </c>
      <c r="G792">
        <v>2830969</v>
      </c>
      <c r="O792" s="8" t="str">
        <f t="shared" si="12"/>
        <v>Profit</v>
      </c>
      <c r="P792" s="5" t="str">
        <f>IF(Table2[[#This Row],[Close]]&gt;Table2[[#This Row],[Open]],"profite","loss")</f>
        <v>profite</v>
      </c>
    </row>
    <row r="793" spans="1:16" x14ac:dyDescent="0.3">
      <c r="A793" s="1">
        <v>36475</v>
      </c>
      <c r="B793">
        <v>58.413623999999999</v>
      </c>
      <c r="C793">
        <v>59.178832999999997</v>
      </c>
      <c r="D793">
        <v>57.656734</v>
      </c>
      <c r="E793">
        <v>58.787909999999997</v>
      </c>
      <c r="F793">
        <v>16.001286</v>
      </c>
      <c r="G793">
        <v>3057853</v>
      </c>
      <c r="O793" s="8" t="str">
        <f t="shared" si="12"/>
        <v>Profit</v>
      </c>
      <c r="P793" s="6" t="str">
        <f>IF(Table2[[#This Row],[Close]]&gt;Table2[[#This Row],[Open]],"profite","loss")</f>
        <v>profite</v>
      </c>
    </row>
    <row r="794" spans="1:16" x14ac:dyDescent="0.3">
      <c r="A794" s="1">
        <v>36476</v>
      </c>
      <c r="B794">
        <v>57.390574999999998</v>
      </c>
      <c r="C794">
        <v>57.723274000000004</v>
      </c>
      <c r="D794">
        <v>56.808352999999997</v>
      </c>
      <c r="E794">
        <v>57.939529</v>
      </c>
      <c r="F794">
        <v>15.77037</v>
      </c>
      <c r="G794">
        <v>3321084</v>
      </c>
      <c r="O794" s="8" t="str">
        <f t="shared" si="12"/>
        <v>Profit</v>
      </c>
      <c r="P794" s="5" t="str">
        <f>IF(Table2[[#This Row],[Close]]&gt;Table2[[#This Row],[Open]],"profite","loss")</f>
        <v>profite</v>
      </c>
    </row>
    <row r="795" spans="1:16" x14ac:dyDescent="0.3">
      <c r="A795" s="1">
        <v>36479</v>
      </c>
      <c r="B795">
        <v>57.681685999999999</v>
      </c>
      <c r="C795">
        <v>58.130828999999999</v>
      </c>
      <c r="D795">
        <v>57.074511999999999</v>
      </c>
      <c r="E795">
        <v>57.423842999999998</v>
      </c>
      <c r="F795">
        <v>15.630005000000001</v>
      </c>
      <c r="G795">
        <v>2144274</v>
      </c>
      <c r="O795" s="8" t="str">
        <f t="shared" si="12"/>
        <v>Loss</v>
      </c>
      <c r="P795" s="6" t="str">
        <f>IF(Table2[[#This Row],[Close]]&gt;Table2[[#This Row],[Open]],"profite","loss")</f>
        <v>loss</v>
      </c>
    </row>
    <row r="796" spans="1:16" x14ac:dyDescent="0.3">
      <c r="A796" s="1">
        <v>36480</v>
      </c>
      <c r="B796">
        <v>57.598511000000002</v>
      </c>
      <c r="C796">
        <v>59.137245</v>
      </c>
      <c r="D796">
        <v>57.224224</v>
      </c>
      <c r="E796">
        <v>57.681685999999999</v>
      </c>
      <c r="F796">
        <v>15.700189</v>
      </c>
      <c r="G796">
        <v>3168963</v>
      </c>
      <c r="O796" s="8" t="str">
        <f t="shared" si="12"/>
        <v>Profit</v>
      </c>
      <c r="P796" s="5" t="str">
        <f>IF(Table2[[#This Row],[Close]]&gt;Table2[[#This Row],[Open]],"profite","loss")</f>
        <v>profite</v>
      </c>
    </row>
    <row r="797" spans="1:16" x14ac:dyDescent="0.3">
      <c r="A797" s="1">
        <v>36481</v>
      </c>
      <c r="B797">
        <v>59.203785000000003</v>
      </c>
      <c r="C797">
        <v>60.168610000000001</v>
      </c>
      <c r="D797">
        <v>58.638195000000003</v>
      </c>
      <c r="E797">
        <v>58.846133999999999</v>
      </c>
      <c r="F797">
        <v>16.017136000000001</v>
      </c>
      <c r="G797">
        <v>3191525</v>
      </c>
      <c r="O797" s="8" t="str">
        <f t="shared" si="12"/>
        <v>Loss</v>
      </c>
      <c r="P797" s="6" t="str">
        <f>IF(Table2[[#This Row],[Close]]&gt;Table2[[#This Row],[Open]],"profite","loss")</f>
        <v>loss</v>
      </c>
    </row>
    <row r="798" spans="1:16" x14ac:dyDescent="0.3">
      <c r="A798" s="1">
        <v>36482</v>
      </c>
      <c r="B798">
        <v>59.212100999999997</v>
      </c>
      <c r="C798">
        <v>59.212100999999997</v>
      </c>
      <c r="D798">
        <v>57.897942</v>
      </c>
      <c r="E798">
        <v>58.762959000000002</v>
      </c>
      <c r="F798">
        <v>15.994498</v>
      </c>
      <c r="G798">
        <v>2218007</v>
      </c>
      <c r="O798" s="8" t="str">
        <f t="shared" si="12"/>
        <v>Loss</v>
      </c>
      <c r="P798" s="5" t="str">
        <f>IF(Table2[[#This Row],[Close]]&gt;Table2[[#This Row],[Open]],"profite","loss")</f>
        <v>loss</v>
      </c>
    </row>
    <row r="799" spans="1:16" x14ac:dyDescent="0.3">
      <c r="A799" s="1">
        <v>36483</v>
      </c>
      <c r="B799">
        <v>58.396988</v>
      </c>
      <c r="C799">
        <v>58.505116000000001</v>
      </c>
      <c r="D799">
        <v>57.556922999999998</v>
      </c>
      <c r="E799">
        <v>58.172417000000003</v>
      </c>
      <c r="F799">
        <v>15.833758</v>
      </c>
      <c r="G799">
        <v>4070554</v>
      </c>
      <c r="O799" s="8" t="str">
        <f t="shared" si="12"/>
        <v>Loss</v>
      </c>
      <c r="P799" s="6" t="str">
        <f>IF(Table2[[#This Row],[Close]]&gt;Table2[[#This Row],[Open]],"profite","loss")</f>
        <v>loss</v>
      </c>
    </row>
    <row r="800" spans="1:16" x14ac:dyDescent="0.3">
      <c r="A800" s="1">
        <v>36486</v>
      </c>
      <c r="B800">
        <v>57.972797</v>
      </c>
      <c r="C800">
        <v>57.972797</v>
      </c>
      <c r="D800">
        <v>56.617049999999999</v>
      </c>
      <c r="E800">
        <v>57.814765999999999</v>
      </c>
      <c r="F800">
        <v>15.736409999999999</v>
      </c>
      <c r="G800">
        <v>2514557</v>
      </c>
      <c r="O800" s="8" t="str">
        <f t="shared" si="12"/>
        <v>Loss</v>
      </c>
      <c r="P800" s="5" t="str">
        <f>IF(Table2[[#This Row],[Close]]&gt;Table2[[#This Row],[Open]],"profite","loss")</f>
        <v>loss</v>
      </c>
    </row>
    <row r="801" spans="1:16" x14ac:dyDescent="0.3">
      <c r="A801" s="1">
        <v>36487</v>
      </c>
      <c r="B801">
        <v>57.141052000000002</v>
      </c>
      <c r="C801">
        <v>58.055973000000002</v>
      </c>
      <c r="D801">
        <v>56.974701000000003</v>
      </c>
      <c r="E801">
        <v>57.099463999999998</v>
      </c>
      <c r="F801">
        <v>15.541715</v>
      </c>
      <c r="G801">
        <v>2473970</v>
      </c>
      <c r="O801" s="8" t="str">
        <f t="shared" si="12"/>
        <v>Loss</v>
      </c>
      <c r="P801" s="6" t="str">
        <f>IF(Table2[[#This Row],[Close]]&gt;Table2[[#This Row],[Open]],"profite","loss")</f>
        <v>loss</v>
      </c>
    </row>
    <row r="802" spans="1:16" x14ac:dyDescent="0.3">
      <c r="A802" s="1">
        <v>36488</v>
      </c>
      <c r="B802">
        <v>57.182636000000002</v>
      </c>
      <c r="C802">
        <v>57.889622000000003</v>
      </c>
      <c r="D802">
        <v>56.974701000000003</v>
      </c>
      <c r="E802">
        <v>57.706637999999998</v>
      </c>
      <c r="F802">
        <v>15.706979</v>
      </c>
      <c r="G802">
        <v>1991977</v>
      </c>
      <c r="O802" s="8" t="str">
        <f t="shared" si="12"/>
        <v>Profit</v>
      </c>
      <c r="P802" s="5" t="str">
        <f>IF(Table2[[#This Row],[Close]]&gt;Table2[[#This Row],[Open]],"profite","loss")</f>
        <v>profite</v>
      </c>
    </row>
    <row r="803" spans="1:16" x14ac:dyDescent="0.3">
      <c r="A803" s="1">
        <v>36489</v>
      </c>
      <c r="B803">
        <v>57.806449999999998</v>
      </c>
      <c r="C803">
        <v>57.806449999999998</v>
      </c>
      <c r="D803">
        <v>56.558826000000003</v>
      </c>
      <c r="E803">
        <v>57.806449999999998</v>
      </c>
      <c r="F803">
        <v>15.734146000000001</v>
      </c>
      <c r="G803">
        <v>2400098</v>
      </c>
      <c r="O803" s="8" t="str">
        <f t="shared" si="12"/>
        <v>No Change</v>
      </c>
      <c r="P803" s="6" t="str">
        <f>IF(Table2[[#This Row],[Close]]&gt;Table2[[#This Row],[Open]],"profite","loss")</f>
        <v>loss</v>
      </c>
    </row>
    <row r="804" spans="1:16" x14ac:dyDescent="0.3">
      <c r="A804" s="1">
        <v>36490</v>
      </c>
      <c r="B804">
        <v>57.390574999999998</v>
      </c>
      <c r="C804">
        <v>57.640098999999999</v>
      </c>
      <c r="D804">
        <v>56.400795000000002</v>
      </c>
      <c r="E804">
        <v>57.290764000000003</v>
      </c>
      <c r="F804">
        <v>15.593783999999999</v>
      </c>
      <c r="G804">
        <v>2296649</v>
      </c>
      <c r="O804" s="8" t="str">
        <f t="shared" si="12"/>
        <v>Loss</v>
      </c>
      <c r="P804" s="5" t="str">
        <f>IF(Table2[[#This Row],[Close]]&gt;Table2[[#This Row],[Open]],"profite","loss")</f>
        <v>loss</v>
      </c>
    </row>
    <row r="805" spans="1:16" x14ac:dyDescent="0.3">
      <c r="A805" s="1">
        <v>36493</v>
      </c>
      <c r="B805">
        <v>56.517238999999996</v>
      </c>
      <c r="C805">
        <v>56.658638000000003</v>
      </c>
      <c r="D805">
        <v>55.976604000000002</v>
      </c>
      <c r="E805">
        <v>56.558826000000003</v>
      </c>
      <c r="F805">
        <v>15.394558999999999</v>
      </c>
      <c r="G805">
        <v>2158008</v>
      </c>
      <c r="O805" s="8" t="str">
        <f t="shared" si="12"/>
        <v>Profit</v>
      </c>
      <c r="P805" s="6" t="str">
        <f>IF(Table2[[#This Row],[Close]]&gt;Table2[[#This Row],[Open]],"profite","loss")</f>
        <v>profite</v>
      </c>
    </row>
    <row r="806" spans="1:16" x14ac:dyDescent="0.3">
      <c r="A806" s="1">
        <v>36494</v>
      </c>
      <c r="B806">
        <v>56.059780000000003</v>
      </c>
      <c r="C806">
        <v>56.733494</v>
      </c>
      <c r="D806">
        <v>55.668858</v>
      </c>
      <c r="E806">
        <v>56.226128000000003</v>
      </c>
      <c r="F806">
        <v>15.304</v>
      </c>
      <c r="G806">
        <v>2693321</v>
      </c>
      <c r="O806" s="8" t="str">
        <f t="shared" si="12"/>
        <v>Profit</v>
      </c>
      <c r="P806" s="5" t="str">
        <f>IF(Table2[[#This Row],[Close]]&gt;Table2[[#This Row],[Open]],"profite","loss")</f>
        <v>profite</v>
      </c>
    </row>
    <row r="807" spans="1:16" x14ac:dyDescent="0.3">
      <c r="A807" s="1">
        <v>36495</v>
      </c>
      <c r="B807">
        <v>56.434066999999999</v>
      </c>
      <c r="C807">
        <v>56.642001999999998</v>
      </c>
      <c r="D807">
        <v>55.444285999999998</v>
      </c>
      <c r="E807">
        <v>56.558826000000003</v>
      </c>
      <c r="F807">
        <v>15.394558999999999</v>
      </c>
      <c r="G807">
        <v>2462568</v>
      </c>
      <c r="O807" s="8" t="str">
        <f t="shared" si="12"/>
        <v>Profit</v>
      </c>
      <c r="P807" s="6" t="str">
        <f>IF(Table2[[#This Row],[Close]]&gt;Table2[[#This Row],[Open]],"profite","loss")</f>
        <v>profite</v>
      </c>
    </row>
    <row r="808" spans="1:16" x14ac:dyDescent="0.3">
      <c r="A808" s="1">
        <v>36496</v>
      </c>
      <c r="B808">
        <v>56.059780000000003</v>
      </c>
      <c r="C808">
        <v>56.059780000000003</v>
      </c>
      <c r="D808">
        <v>54.229934999999998</v>
      </c>
      <c r="E808">
        <v>55.935017000000002</v>
      </c>
      <c r="F808">
        <v>15.224766000000001</v>
      </c>
      <c r="G808">
        <v>3563611</v>
      </c>
      <c r="O808" s="8" t="str">
        <f t="shared" si="12"/>
        <v>Loss</v>
      </c>
      <c r="P808" s="5" t="str">
        <f>IF(Table2[[#This Row],[Close]]&gt;Table2[[#This Row],[Open]],"profite","loss")</f>
        <v>loss</v>
      </c>
    </row>
    <row r="809" spans="1:16" x14ac:dyDescent="0.3">
      <c r="A809" s="1">
        <v>36497</v>
      </c>
      <c r="B809">
        <v>55.153174999999997</v>
      </c>
      <c r="C809">
        <v>56.558826000000003</v>
      </c>
      <c r="D809">
        <v>54.978507999999998</v>
      </c>
      <c r="E809">
        <v>55.178127000000003</v>
      </c>
      <c r="F809">
        <v>15.018751999999999</v>
      </c>
      <c r="G809">
        <v>3718362</v>
      </c>
      <c r="O809" s="8" t="str">
        <f t="shared" si="12"/>
        <v>Profit</v>
      </c>
      <c r="P809" s="6" t="str">
        <f>IF(Table2[[#This Row],[Close]]&gt;Table2[[#This Row],[Open]],"profite","loss")</f>
        <v>profite</v>
      </c>
    </row>
    <row r="810" spans="1:16" x14ac:dyDescent="0.3">
      <c r="A810" s="1">
        <v>36500</v>
      </c>
      <c r="B810">
        <v>56.059780000000003</v>
      </c>
      <c r="C810">
        <v>57.681685999999999</v>
      </c>
      <c r="D810">
        <v>55.727080999999998</v>
      </c>
      <c r="E810">
        <v>55.178127000000003</v>
      </c>
      <c r="F810">
        <v>15.018751999999999</v>
      </c>
      <c r="G810">
        <v>4379563</v>
      </c>
      <c r="O810" s="8" t="str">
        <f t="shared" si="12"/>
        <v>Loss</v>
      </c>
      <c r="P810" s="5" t="str">
        <f>IF(Table2[[#This Row],[Close]]&gt;Table2[[#This Row],[Open]],"profite","loss")</f>
        <v>loss</v>
      </c>
    </row>
    <row r="811" spans="1:16" x14ac:dyDescent="0.3">
      <c r="A811" s="1">
        <v>36501</v>
      </c>
      <c r="B811">
        <v>56.142955999999998</v>
      </c>
      <c r="C811">
        <v>56.226128000000003</v>
      </c>
      <c r="D811">
        <v>55.444285999999998</v>
      </c>
      <c r="E811">
        <v>55.935017000000002</v>
      </c>
      <c r="F811">
        <v>15.224766000000001</v>
      </c>
      <c r="G811">
        <v>2498542</v>
      </c>
      <c r="O811" s="8" t="str">
        <f t="shared" si="12"/>
        <v>Loss</v>
      </c>
      <c r="P811" s="6" t="str">
        <f>IF(Table2[[#This Row],[Close]]&gt;Table2[[#This Row],[Open]],"profite","loss")</f>
        <v>loss</v>
      </c>
    </row>
    <row r="812" spans="1:16" x14ac:dyDescent="0.3">
      <c r="A812" s="1">
        <v>36502</v>
      </c>
      <c r="B812">
        <v>55.552413999999999</v>
      </c>
      <c r="C812">
        <v>56.051459999999999</v>
      </c>
      <c r="D812">
        <v>55.061684</v>
      </c>
      <c r="E812">
        <v>55.710445</v>
      </c>
      <c r="F812">
        <v>15.163644</v>
      </c>
      <c r="G812">
        <v>2549142</v>
      </c>
      <c r="O812" s="8" t="str">
        <f t="shared" si="12"/>
        <v>Profit</v>
      </c>
      <c r="P812" s="5" t="str">
        <f>IF(Table2[[#This Row],[Close]]&gt;Table2[[#This Row],[Open]],"profite","loss")</f>
        <v>profite</v>
      </c>
    </row>
    <row r="813" spans="1:16" x14ac:dyDescent="0.3">
      <c r="A813" s="1">
        <v>36503</v>
      </c>
      <c r="B813">
        <v>55.460921999999997</v>
      </c>
      <c r="C813">
        <v>55.810253000000003</v>
      </c>
      <c r="D813">
        <v>54.338062000000001</v>
      </c>
      <c r="E813">
        <v>55.56073</v>
      </c>
      <c r="F813">
        <v>15.122892</v>
      </c>
      <c r="G813">
        <v>3146174</v>
      </c>
      <c r="O813" s="8" t="str">
        <f t="shared" si="12"/>
        <v>Profit</v>
      </c>
      <c r="P813" s="6" t="str">
        <f>IF(Table2[[#This Row],[Close]]&gt;Table2[[#This Row],[Open]],"profite","loss")</f>
        <v>profite</v>
      </c>
    </row>
    <row r="814" spans="1:16" x14ac:dyDescent="0.3">
      <c r="A814" s="1">
        <v>36504</v>
      </c>
      <c r="B814">
        <v>54.587584999999997</v>
      </c>
      <c r="C814">
        <v>55.602317999999997</v>
      </c>
      <c r="D814">
        <v>54.587584999999997</v>
      </c>
      <c r="E814">
        <v>54.521045999999998</v>
      </c>
      <c r="F814">
        <v>14.839904000000001</v>
      </c>
      <c r="G814">
        <v>2357708</v>
      </c>
      <c r="O814" s="8" t="str">
        <f t="shared" si="12"/>
        <v>Loss</v>
      </c>
      <c r="P814" s="5" t="str">
        <f>IF(Table2[[#This Row],[Close]]&gt;Table2[[#This Row],[Open]],"profite","loss")</f>
        <v>loss</v>
      </c>
    </row>
    <row r="815" spans="1:16" x14ac:dyDescent="0.3">
      <c r="A815" s="1">
        <v>36507</v>
      </c>
      <c r="B815">
        <v>55.327843000000001</v>
      </c>
      <c r="C815">
        <v>56.334254999999999</v>
      </c>
      <c r="D815">
        <v>55.327843000000001</v>
      </c>
      <c r="E815">
        <v>55.56073</v>
      </c>
      <c r="F815">
        <v>15.122892</v>
      </c>
      <c r="G815">
        <v>2252549</v>
      </c>
      <c r="O815" s="8" t="str">
        <f t="shared" si="12"/>
        <v>Profit</v>
      </c>
      <c r="P815" s="6" t="str">
        <f>IF(Table2[[#This Row],[Close]]&gt;Table2[[#This Row],[Open]],"profite","loss")</f>
        <v>profite</v>
      </c>
    </row>
    <row r="816" spans="1:16" x14ac:dyDescent="0.3">
      <c r="A816" s="1">
        <v>36508</v>
      </c>
      <c r="B816">
        <v>55.685493000000001</v>
      </c>
      <c r="C816">
        <v>56.725178</v>
      </c>
      <c r="D816">
        <v>55.435966000000001</v>
      </c>
      <c r="E816">
        <v>55.56073</v>
      </c>
      <c r="F816">
        <v>15.122892</v>
      </c>
      <c r="G816">
        <v>3204339</v>
      </c>
      <c r="O816" s="8" t="str">
        <f t="shared" si="12"/>
        <v>Loss</v>
      </c>
      <c r="P816" s="5" t="str">
        <f>IF(Table2[[#This Row],[Close]]&gt;Table2[[#This Row],[Open]],"profite","loss")</f>
        <v>loss</v>
      </c>
    </row>
    <row r="817" spans="1:16" x14ac:dyDescent="0.3">
      <c r="A817" s="1">
        <v>36509</v>
      </c>
      <c r="B817">
        <v>56.617049999999999</v>
      </c>
      <c r="C817">
        <v>59.212100999999997</v>
      </c>
      <c r="D817">
        <v>56.434066999999999</v>
      </c>
      <c r="E817">
        <v>56.558826000000003</v>
      </c>
      <c r="F817">
        <v>15.394558999999999</v>
      </c>
      <c r="G817">
        <v>4505625</v>
      </c>
      <c r="O817" s="8" t="str">
        <f t="shared" si="12"/>
        <v>Loss</v>
      </c>
      <c r="P817" s="6" t="str">
        <f>IF(Table2[[#This Row],[Close]]&gt;Table2[[#This Row],[Open]],"profite","loss")</f>
        <v>loss</v>
      </c>
    </row>
    <row r="818" spans="1:16" x14ac:dyDescent="0.3">
      <c r="A818" s="1">
        <v>36510</v>
      </c>
      <c r="B818">
        <v>59.137245</v>
      </c>
      <c r="C818">
        <v>63.004871000000001</v>
      </c>
      <c r="D818">
        <v>59.012481999999999</v>
      </c>
      <c r="E818">
        <v>59.012481999999999</v>
      </c>
      <c r="F818">
        <v>16.062415999999999</v>
      </c>
      <c r="G818">
        <v>8996793</v>
      </c>
      <c r="O818" s="8" t="str">
        <f t="shared" si="12"/>
        <v>Loss</v>
      </c>
      <c r="P818" s="5" t="str">
        <f>IF(Table2[[#This Row],[Close]]&gt;Table2[[#This Row],[Open]],"profite","loss")</f>
        <v>loss</v>
      </c>
    </row>
    <row r="819" spans="1:16" x14ac:dyDescent="0.3">
      <c r="A819" s="1">
        <v>36511</v>
      </c>
      <c r="B819">
        <v>61.590899999999998</v>
      </c>
      <c r="C819">
        <v>62.755344000000001</v>
      </c>
      <c r="D819">
        <v>59.644610999999998</v>
      </c>
      <c r="E819">
        <v>60.917183000000001</v>
      </c>
      <c r="F819">
        <v>16.580846999999999</v>
      </c>
      <c r="G819">
        <v>7217536</v>
      </c>
      <c r="O819" s="8" t="str">
        <f t="shared" si="12"/>
        <v>Loss</v>
      </c>
      <c r="P819" s="6" t="str">
        <f>IF(Table2[[#This Row],[Close]]&gt;Table2[[#This Row],[Open]],"profite","loss")</f>
        <v>loss</v>
      </c>
    </row>
    <row r="820" spans="1:16" x14ac:dyDescent="0.3">
      <c r="A820" s="1">
        <v>36514</v>
      </c>
      <c r="B820">
        <v>59.927405999999998</v>
      </c>
      <c r="C820">
        <v>60.260105000000003</v>
      </c>
      <c r="D820">
        <v>58.729686999999998</v>
      </c>
      <c r="E820">
        <v>60.077117999999999</v>
      </c>
      <c r="F820">
        <v>16.352195999999999</v>
      </c>
      <c r="G820">
        <v>2097392</v>
      </c>
      <c r="O820" s="8" t="str">
        <f t="shared" si="12"/>
        <v>Profit</v>
      </c>
      <c r="P820" s="5" t="str">
        <f>IF(Table2[[#This Row],[Close]]&gt;Table2[[#This Row],[Open]],"profite","loss")</f>
        <v>profite</v>
      </c>
    </row>
    <row r="821" spans="1:16" x14ac:dyDescent="0.3">
      <c r="A821" s="1">
        <v>36515</v>
      </c>
      <c r="B821">
        <v>58.762959000000002</v>
      </c>
      <c r="C821">
        <v>60.967091000000003</v>
      </c>
      <c r="D821">
        <v>58.762959000000002</v>
      </c>
      <c r="E821">
        <v>58.887718</v>
      </c>
      <c r="F821">
        <v>16.028454</v>
      </c>
      <c r="G821">
        <v>2228018</v>
      </c>
      <c r="O821" s="8" t="str">
        <f t="shared" si="12"/>
        <v>Profit</v>
      </c>
      <c r="P821" s="6" t="str">
        <f>IF(Table2[[#This Row],[Close]]&gt;Table2[[#This Row],[Open]],"profite","loss")</f>
        <v>profite</v>
      </c>
    </row>
    <row r="822" spans="1:16" x14ac:dyDescent="0.3">
      <c r="A822" s="1">
        <v>36516</v>
      </c>
      <c r="B822">
        <v>60.675975999999999</v>
      </c>
      <c r="C822">
        <v>61.840423999999999</v>
      </c>
      <c r="D822">
        <v>60.035533999999998</v>
      </c>
      <c r="E822">
        <v>60.226832999999999</v>
      </c>
      <c r="F822">
        <v>16.392938999999998</v>
      </c>
      <c r="G822">
        <v>1989887</v>
      </c>
      <c r="O822" s="8" t="str">
        <f t="shared" si="12"/>
        <v>Loss</v>
      </c>
      <c r="P822" s="5" t="str">
        <f>IF(Table2[[#This Row],[Close]]&gt;Table2[[#This Row],[Open]],"profite","loss")</f>
        <v>loss</v>
      </c>
    </row>
    <row r="823" spans="1:16" x14ac:dyDescent="0.3">
      <c r="A823" s="1">
        <v>36517</v>
      </c>
      <c r="B823">
        <v>60.218516999999999</v>
      </c>
      <c r="C823">
        <v>60.592804000000001</v>
      </c>
      <c r="D823">
        <v>59.137245</v>
      </c>
      <c r="E823">
        <v>60.035533999999998</v>
      </c>
      <c r="F823">
        <v>16.340872000000001</v>
      </c>
      <c r="G823">
        <v>2696100</v>
      </c>
      <c r="O823" s="8" t="str">
        <f t="shared" si="12"/>
        <v>Loss</v>
      </c>
      <c r="P823" s="6" t="str">
        <f>IF(Table2[[#This Row],[Close]]&gt;Table2[[#This Row],[Open]],"profite","loss")</f>
        <v>loss</v>
      </c>
    </row>
    <row r="824" spans="1:16" x14ac:dyDescent="0.3">
      <c r="A824" s="1">
        <v>36518</v>
      </c>
      <c r="B824">
        <v>60.035533999999998</v>
      </c>
      <c r="C824">
        <v>60.035533999999998</v>
      </c>
      <c r="D824">
        <v>60.035533999999998</v>
      </c>
      <c r="E824">
        <v>60.035533999999998</v>
      </c>
      <c r="F824">
        <v>16.340872000000001</v>
      </c>
      <c r="G824">
        <v>0</v>
      </c>
      <c r="O824" s="8" t="str">
        <f t="shared" si="12"/>
        <v>No Change</v>
      </c>
      <c r="P824" s="5" t="str">
        <f>IF(Table2[[#This Row],[Close]]&gt;Table2[[#This Row],[Open]],"profite","loss")</f>
        <v>loss</v>
      </c>
    </row>
    <row r="825" spans="1:16" x14ac:dyDescent="0.3">
      <c r="A825" s="1">
        <v>36521</v>
      </c>
      <c r="B825">
        <v>60.717564000000003</v>
      </c>
      <c r="C825">
        <v>62.539093000000001</v>
      </c>
      <c r="D825">
        <v>59.719467000000002</v>
      </c>
      <c r="E825">
        <v>60.276736999999997</v>
      </c>
      <c r="F825">
        <v>16.406524999999998</v>
      </c>
      <c r="G825">
        <v>2932825</v>
      </c>
      <c r="O825" s="8" t="str">
        <f t="shared" si="12"/>
        <v>Loss</v>
      </c>
      <c r="P825" s="6" t="str">
        <f>IF(Table2[[#This Row],[Close]]&gt;Table2[[#This Row],[Open]],"profite","loss")</f>
        <v>loss</v>
      </c>
    </row>
    <row r="826" spans="1:16" x14ac:dyDescent="0.3">
      <c r="A826" s="1">
        <v>36522</v>
      </c>
      <c r="B826">
        <v>60.925502999999999</v>
      </c>
      <c r="C826">
        <v>62.630585000000004</v>
      </c>
      <c r="D826">
        <v>60.925502999999999</v>
      </c>
      <c r="E826">
        <v>60.717564000000003</v>
      </c>
      <c r="F826">
        <v>16.526512</v>
      </c>
      <c r="G826">
        <v>2576998</v>
      </c>
      <c r="O826" s="8" t="str">
        <f t="shared" si="12"/>
        <v>Loss</v>
      </c>
      <c r="P826" s="5" t="str">
        <f>IF(Table2[[#This Row],[Close]]&gt;Table2[[#This Row],[Open]],"profite","loss")</f>
        <v>loss</v>
      </c>
    </row>
    <row r="827" spans="1:16" x14ac:dyDescent="0.3">
      <c r="A827" s="1">
        <v>36523</v>
      </c>
      <c r="B827">
        <v>62.705441</v>
      </c>
      <c r="C827">
        <v>64.701637000000005</v>
      </c>
      <c r="D827">
        <v>62.381062</v>
      </c>
      <c r="E827">
        <v>62.040042999999997</v>
      </c>
      <c r="F827">
        <v>16.886472999999999</v>
      </c>
      <c r="G827">
        <v>3733826</v>
      </c>
      <c r="O827" s="8" t="str">
        <f t="shared" si="12"/>
        <v>Loss</v>
      </c>
      <c r="P827" s="6" t="str">
        <f>IF(Table2[[#This Row],[Close]]&gt;Table2[[#This Row],[Open]],"profite","loss")</f>
        <v>loss</v>
      </c>
    </row>
    <row r="828" spans="1:16" x14ac:dyDescent="0.3">
      <c r="A828" s="1">
        <v>36524</v>
      </c>
      <c r="B828">
        <v>64.543602000000007</v>
      </c>
      <c r="C828">
        <v>65.292175</v>
      </c>
      <c r="D828">
        <v>64.044556</v>
      </c>
      <c r="E828">
        <v>63.711857000000002</v>
      </c>
      <c r="F828">
        <v>17.341518000000001</v>
      </c>
      <c r="G828">
        <v>1612120</v>
      </c>
      <c r="O828" s="8" t="str">
        <f t="shared" si="12"/>
        <v>Loss</v>
      </c>
      <c r="P828" s="5" t="str">
        <f>IF(Table2[[#This Row],[Close]]&gt;Table2[[#This Row],[Open]],"profite","loss")</f>
        <v>loss</v>
      </c>
    </row>
    <row r="829" spans="1:16" x14ac:dyDescent="0.3">
      <c r="A829" s="1">
        <v>36525</v>
      </c>
      <c r="B829">
        <v>63.711857000000002</v>
      </c>
      <c r="C829">
        <v>63.711857000000002</v>
      </c>
      <c r="D829">
        <v>63.711857000000002</v>
      </c>
      <c r="E829">
        <v>63.711857000000002</v>
      </c>
      <c r="F829">
        <v>17.341518000000001</v>
      </c>
      <c r="G829">
        <v>0</v>
      </c>
      <c r="O829" s="8" t="str">
        <f t="shared" si="12"/>
        <v>No Change</v>
      </c>
      <c r="P829" s="12" t="str">
        <f>IF(Table2[[#This Row],[Close]]&gt;Table2[[#This Row],[Open]],"profite","loss")</f>
        <v>loss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4B6C-4FC5-42B2-BE65-C063E51DBD9A}">
  <dimension ref="B1:D829"/>
  <sheetViews>
    <sheetView workbookViewId="0">
      <selection activeCell="J15" sqref="J15"/>
    </sheetView>
  </sheetViews>
  <sheetFormatPr defaultRowHeight="14.4" x14ac:dyDescent="0.3"/>
  <cols>
    <col min="3" max="3" width="9" customWidth="1"/>
  </cols>
  <sheetData>
    <row r="1" spans="2:4" x14ac:dyDescent="0.3">
      <c r="B1" t="s">
        <v>1</v>
      </c>
      <c r="C1" t="s">
        <v>6</v>
      </c>
      <c r="D1" t="s">
        <v>4</v>
      </c>
    </row>
    <row r="2" spans="2:4" x14ac:dyDescent="0.3">
      <c r="B2">
        <v>37.848666999999999</v>
      </c>
      <c r="C2">
        <v>1640521</v>
      </c>
      <c r="D2">
        <v>37.550975999999999</v>
      </c>
    </row>
    <row r="3" spans="2:4" x14ac:dyDescent="0.3">
      <c r="B3">
        <v>37.635983000000003</v>
      </c>
      <c r="C3">
        <v>1908031</v>
      </c>
      <c r="D3">
        <v>38.052779999999998</v>
      </c>
    </row>
    <row r="4" spans="2:4" x14ac:dyDescent="0.3">
      <c r="B4">
        <v>38.273941000000001</v>
      </c>
      <c r="C4">
        <v>2423211</v>
      </c>
      <c r="D4">
        <v>38.231346000000002</v>
      </c>
    </row>
    <row r="5" spans="2:4" x14ac:dyDescent="0.3">
      <c r="B5">
        <v>38.273941000000001</v>
      </c>
      <c r="C5">
        <v>1284644</v>
      </c>
      <c r="D5">
        <v>38.529037000000002</v>
      </c>
    </row>
    <row r="6" spans="2:4" x14ac:dyDescent="0.3">
      <c r="B6">
        <v>38.694889000000003</v>
      </c>
      <c r="C6">
        <v>2105206</v>
      </c>
      <c r="D6">
        <v>39.251990999999997</v>
      </c>
    </row>
    <row r="7" spans="2:4" x14ac:dyDescent="0.3">
      <c r="B7">
        <v>39.464661</v>
      </c>
      <c r="C7">
        <v>2973859</v>
      </c>
      <c r="D7">
        <v>39.851680999999999</v>
      </c>
    </row>
    <row r="8" spans="2:4" x14ac:dyDescent="0.3">
      <c r="B8">
        <v>39.826149000000001</v>
      </c>
      <c r="C8">
        <v>2894508</v>
      </c>
      <c r="D8">
        <v>39.634762000000002</v>
      </c>
    </row>
    <row r="9" spans="2:4" x14ac:dyDescent="0.3">
      <c r="B9">
        <v>39.877132000000003</v>
      </c>
      <c r="C9">
        <v>2001809</v>
      </c>
      <c r="D9">
        <v>39.783645999999997</v>
      </c>
    </row>
    <row r="10" spans="2:4" x14ac:dyDescent="0.3">
      <c r="B10">
        <v>39.762352</v>
      </c>
      <c r="C10">
        <v>1020742</v>
      </c>
      <c r="D10">
        <v>39.962223000000002</v>
      </c>
    </row>
    <row r="11" spans="2:4" x14ac:dyDescent="0.3">
      <c r="B11">
        <v>39.911144</v>
      </c>
      <c r="C11">
        <v>2786903</v>
      </c>
      <c r="D11">
        <v>40.868076000000002</v>
      </c>
    </row>
    <row r="12" spans="2:4" x14ac:dyDescent="0.3">
      <c r="B12">
        <v>40.868076000000002</v>
      </c>
      <c r="C12">
        <v>0</v>
      </c>
      <c r="D12">
        <v>40.868076000000002</v>
      </c>
    </row>
    <row r="13" spans="2:4" x14ac:dyDescent="0.3">
      <c r="B13">
        <v>40.868076000000002</v>
      </c>
      <c r="C13">
        <v>0</v>
      </c>
      <c r="D13">
        <v>40.868076000000002</v>
      </c>
    </row>
    <row r="14" spans="2:4" x14ac:dyDescent="0.3">
      <c r="B14">
        <v>41.676037000000001</v>
      </c>
      <c r="C14">
        <v>1848517</v>
      </c>
      <c r="D14">
        <v>41.518669000000003</v>
      </c>
    </row>
    <row r="15" spans="2:4" x14ac:dyDescent="0.3">
      <c r="B15">
        <v>41.548447000000003</v>
      </c>
      <c r="C15">
        <v>1451161</v>
      </c>
      <c r="D15">
        <v>41.059379999999997</v>
      </c>
    </row>
    <row r="16" spans="2:4" x14ac:dyDescent="0.3">
      <c r="B16">
        <v>41.038162</v>
      </c>
      <c r="C16">
        <v>741210</v>
      </c>
      <c r="D16">
        <v>41.31456</v>
      </c>
    </row>
    <row r="17" spans="2:4" x14ac:dyDescent="0.3">
      <c r="B17">
        <v>41.378345000000003</v>
      </c>
      <c r="C17">
        <v>1249177</v>
      </c>
      <c r="D17">
        <v>41.016869</v>
      </c>
    </row>
    <row r="18" spans="2:4" x14ac:dyDescent="0.3">
      <c r="B18">
        <v>40.974376999999997</v>
      </c>
      <c r="C18">
        <v>1651342</v>
      </c>
      <c r="D18">
        <v>41.169994000000003</v>
      </c>
    </row>
    <row r="19" spans="2:4" x14ac:dyDescent="0.3">
      <c r="B19">
        <v>41.250754999999998</v>
      </c>
      <c r="C19">
        <v>1180045</v>
      </c>
      <c r="D19">
        <v>41.420856000000001</v>
      </c>
    </row>
    <row r="20" spans="2:4" x14ac:dyDescent="0.3">
      <c r="B20">
        <v>41.633533</v>
      </c>
      <c r="C20">
        <v>1502860</v>
      </c>
      <c r="D20">
        <v>42.207607000000003</v>
      </c>
    </row>
    <row r="21" spans="2:4" x14ac:dyDescent="0.3">
      <c r="B21">
        <v>42.356490999999998</v>
      </c>
      <c r="C21">
        <v>1883384</v>
      </c>
      <c r="D21">
        <v>42.420284000000002</v>
      </c>
    </row>
    <row r="22" spans="2:4" x14ac:dyDescent="0.3">
      <c r="B22">
        <v>42.356490999999998</v>
      </c>
      <c r="C22">
        <v>1188461</v>
      </c>
      <c r="D22">
        <v>41.93121</v>
      </c>
    </row>
    <row r="23" spans="2:4" x14ac:dyDescent="0.3">
      <c r="B23">
        <v>42.058799999999998</v>
      </c>
      <c r="C23">
        <v>974454</v>
      </c>
      <c r="D23">
        <v>42.462788000000003</v>
      </c>
    </row>
    <row r="24" spans="2:4" x14ac:dyDescent="0.3">
      <c r="B24">
        <v>42.526581</v>
      </c>
      <c r="C24">
        <v>1199282</v>
      </c>
      <c r="D24">
        <v>42.866768</v>
      </c>
    </row>
    <row r="25" spans="2:4" x14ac:dyDescent="0.3">
      <c r="B25">
        <v>42.739178000000003</v>
      </c>
      <c r="C25">
        <v>1104301</v>
      </c>
      <c r="D25">
        <v>43.249538000000001</v>
      </c>
    </row>
    <row r="26" spans="2:4" x14ac:dyDescent="0.3">
      <c r="B26">
        <v>43.844893999999996</v>
      </c>
      <c r="C26">
        <v>2090177</v>
      </c>
      <c r="D26">
        <v>44.780453000000001</v>
      </c>
    </row>
    <row r="27" spans="2:4" x14ac:dyDescent="0.3">
      <c r="B27">
        <v>44.397754999999997</v>
      </c>
      <c r="C27">
        <v>1395255</v>
      </c>
      <c r="D27">
        <v>44.312674999999999</v>
      </c>
    </row>
    <row r="28" spans="2:4" x14ac:dyDescent="0.3">
      <c r="B28">
        <v>44.270164000000001</v>
      </c>
      <c r="C28">
        <v>2248879</v>
      </c>
      <c r="D28">
        <v>43.611015000000002</v>
      </c>
    </row>
    <row r="29" spans="2:4" x14ac:dyDescent="0.3">
      <c r="B29">
        <v>42.547874</v>
      </c>
      <c r="C29">
        <v>3265414</v>
      </c>
      <c r="D29">
        <v>42.611587999999998</v>
      </c>
    </row>
    <row r="30" spans="2:4" x14ac:dyDescent="0.3">
      <c r="B30">
        <v>42.951847000000001</v>
      </c>
      <c r="C30">
        <v>1419902</v>
      </c>
      <c r="D30">
        <v>43.504707000000003</v>
      </c>
    </row>
    <row r="31" spans="2:4" x14ac:dyDescent="0.3">
      <c r="B31">
        <v>43.717303999999999</v>
      </c>
      <c r="C31">
        <v>1175236</v>
      </c>
      <c r="D31">
        <v>43.589714000000001</v>
      </c>
    </row>
    <row r="32" spans="2:4" x14ac:dyDescent="0.3">
      <c r="B32">
        <v>43.292037999999998</v>
      </c>
      <c r="C32">
        <v>1676590</v>
      </c>
      <c r="D32">
        <v>42.59037</v>
      </c>
    </row>
    <row r="33" spans="2:4" x14ac:dyDescent="0.3">
      <c r="B33">
        <v>42.569083999999997</v>
      </c>
      <c r="C33">
        <v>976859</v>
      </c>
      <c r="D33">
        <v>42.420284000000002</v>
      </c>
    </row>
    <row r="34" spans="2:4" x14ac:dyDescent="0.3">
      <c r="B34">
        <v>42.105553</v>
      </c>
      <c r="C34">
        <v>1356782</v>
      </c>
      <c r="D34">
        <v>42.292693999999997</v>
      </c>
    </row>
    <row r="35" spans="2:4" x14ac:dyDescent="0.3">
      <c r="B35">
        <v>42.313904000000001</v>
      </c>
      <c r="C35">
        <v>1808241</v>
      </c>
      <c r="D35">
        <v>43.207034999999998</v>
      </c>
    </row>
    <row r="36" spans="2:4" x14ac:dyDescent="0.3">
      <c r="B36">
        <v>42.951847000000001</v>
      </c>
      <c r="C36">
        <v>1686810</v>
      </c>
      <c r="D36">
        <v>42.505287000000003</v>
      </c>
    </row>
    <row r="37" spans="2:4" x14ac:dyDescent="0.3">
      <c r="B37">
        <v>42.611587999999998</v>
      </c>
      <c r="C37">
        <v>1020742</v>
      </c>
      <c r="D37">
        <v>42.526581</v>
      </c>
    </row>
    <row r="38" spans="2:4" x14ac:dyDescent="0.3">
      <c r="B38">
        <v>42.611587999999998</v>
      </c>
      <c r="C38">
        <v>1162612</v>
      </c>
      <c r="D38">
        <v>43.100655000000003</v>
      </c>
    </row>
    <row r="39" spans="2:4" x14ac:dyDescent="0.3">
      <c r="B39">
        <v>43.504707000000003</v>
      </c>
      <c r="C39">
        <v>1404873</v>
      </c>
      <c r="D39">
        <v>43.377116999999998</v>
      </c>
    </row>
    <row r="40" spans="2:4" x14ac:dyDescent="0.3">
      <c r="B40">
        <v>43.292037999999998</v>
      </c>
      <c r="C40">
        <v>423806</v>
      </c>
      <c r="D40">
        <v>43.462131999999997</v>
      </c>
    </row>
    <row r="41" spans="2:4" x14ac:dyDescent="0.3">
      <c r="B41">
        <v>43.462131999999997</v>
      </c>
      <c r="C41">
        <v>0</v>
      </c>
      <c r="D41">
        <v>43.462131999999997</v>
      </c>
    </row>
    <row r="42" spans="2:4" x14ac:dyDescent="0.3">
      <c r="B42">
        <v>43.462131999999997</v>
      </c>
      <c r="C42">
        <v>0</v>
      </c>
      <c r="D42">
        <v>43.462131999999997</v>
      </c>
    </row>
    <row r="43" spans="2:4" x14ac:dyDescent="0.3">
      <c r="B43">
        <v>43.462131999999997</v>
      </c>
      <c r="C43">
        <v>0</v>
      </c>
      <c r="D43">
        <v>43.462131999999997</v>
      </c>
    </row>
    <row r="44" spans="2:4" x14ac:dyDescent="0.3">
      <c r="B44">
        <v>43.632224999999998</v>
      </c>
      <c r="C44">
        <v>441840</v>
      </c>
      <c r="D44">
        <v>44.227673000000003</v>
      </c>
    </row>
    <row r="45" spans="2:4" x14ac:dyDescent="0.3">
      <c r="B45">
        <v>44.482761000000004</v>
      </c>
      <c r="C45">
        <v>977460</v>
      </c>
      <c r="D45">
        <v>45.141930000000002</v>
      </c>
    </row>
    <row r="46" spans="2:4" x14ac:dyDescent="0.3">
      <c r="B46">
        <v>45.141930000000002</v>
      </c>
      <c r="C46">
        <v>0</v>
      </c>
      <c r="D46">
        <v>45.141930000000002</v>
      </c>
    </row>
    <row r="47" spans="2:4" x14ac:dyDescent="0.3">
      <c r="B47">
        <v>45.141930000000002</v>
      </c>
      <c r="C47">
        <v>0</v>
      </c>
      <c r="D47">
        <v>45.141930000000002</v>
      </c>
    </row>
    <row r="48" spans="2:4" x14ac:dyDescent="0.3">
      <c r="B48">
        <v>44.567855999999999</v>
      </c>
      <c r="C48">
        <v>1195675</v>
      </c>
      <c r="D48">
        <v>44.142586000000001</v>
      </c>
    </row>
    <row r="49" spans="2:4" x14ac:dyDescent="0.3">
      <c r="B49">
        <v>44.418976000000001</v>
      </c>
      <c r="C49">
        <v>1320112</v>
      </c>
      <c r="D49">
        <v>44.993130000000001</v>
      </c>
    </row>
    <row r="50" spans="2:4" x14ac:dyDescent="0.3">
      <c r="B50">
        <v>45.078125</v>
      </c>
      <c r="C50">
        <v>2076351</v>
      </c>
      <c r="D50">
        <v>46.481541</v>
      </c>
    </row>
    <row r="51" spans="2:4" x14ac:dyDescent="0.3">
      <c r="B51">
        <v>46.481541</v>
      </c>
      <c r="C51">
        <v>2154500</v>
      </c>
      <c r="D51">
        <v>45.949962999999997</v>
      </c>
    </row>
    <row r="52" spans="2:4" x14ac:dyDescent="0.3">
      <c r="B52">
        <v>46.205143</v>
      </c>
      <c r="C52">
        <v>2371513</v>
      </c>
      <c r="D52">
        <v>47.119408</v>
      </c>
    </row>
    <row r="53" spans="2:4" x14ac:dyDescent="0.3">
      <c r="B53">
        <v>46.843018000000001</v>
      </c>
      <c r="C53">
        <v>3569593</v>
      </c>
      <c r="D53">
        <v>47.459674999999997</v>
      </c>
    </row>
    <row r="54" spans="2:4" x14ac:dyDescent="0.3">
      <c r="B54">
        <v>47.587265000000002</v>
      </c>
      <c r="C54">
        <v>2677495</v>
      </c>
      <c r="D54">
        <v>47.246997999999998</v>
      </c>
    </row>
    <row r="55" spans="2:4" x14ac:dyDescent="0.3">
      <c r="B55">
        <v>47.629767999999999</v>
      </c>
      <c r="C55">
        <v>1695827</v>
      </c>
      <c r="D55">
        <v>49.054386000000001</v>
      </c>
    </row>
    <row r="56" spans="2:4" x14ac:dyDescent="0.3">
      <c r="B56">
        <v>49.096882000000001</v>
      </c>
      <c r="C56">
        <v>3127151</v>
      </c>
      <c r="D56">
        <v>50.564082999999997</v>
      </c>
    </row>
    <row r="57" spans="2:4" x14ac:dyDescent="0.3">
      <c r="B57">
        <v>50.776767999999997</v>
      </c>
      <c r="C57">
        <v>2413593</v>
      </c>
      <c r="D57">
        <v>49.309565999999997</v>
      </c>
    </row>
    <row r="58" spans="2:4" x14ac:dyDescent="0.3">
      <c r="B58">
        <v>49.373359999999998</v>
      </c>
      <c r="C58">
        <v>3065834</v>
      </c>
      <c r="D58">
        <v>48.905579000000003</v>
      </c>
    </row>
    <row r="59" spans="2:4" x14ac:dyDescent="0.3">
      <c r="B59">
        <v>49.033175999999997</v>
      </c>
      <c r="C59">
        <v>2933582</v>
      </c>
      <c r="D59">
        <v>49.798625999999999</v>
      </c>
    </row>
    <row r="60" spans="2:4" x14ac:dyDescent="0.3">
      <c r="B60">
        <v>50.181319999999999</v>
      </c>
      <c r="C60">
        <v>2759852</v>
      </c>
      <c r="D60">
        <v>48.437721000000003</v>
      </c>
    </row>
    <row r="61" spans="2:4" x14ac:dyDescent="0.3">
      <c r="B61">
        <v>48.416519000000001</v>
      </c>
      <c r="C61">
        <v>1222726</v>
      </c>
      <c r="D61">
        <v>48.182631999999998</v>
      </c>
    </row>
    <row r="62" spans="2:4" x14ac:dyDescent="0.3">
      <c r="B62">
        <v>48.650398000000003</v>
      </c>
      <c r="C62">
        <v>2346866</v>
      </c>
      <c r="D62">
        <v>48.692909</v>
      </c>
    </row>
    <row r="63" spans="2:4" x14ac:dyDescent="0.3">
      <c r="B63">
        <v>48.544102000000002</v>
      </c>
      <c r="C63">
        <v>2158708</v>
      </c>
      <c r="D63">
        <v>49.309565999999997</v>
      </c>
    </row>
    <row r="64" spans="2:4" x14ac:dyDescent="0.3">
      <c r="B64">
        <v>49.033175999999997</v>
      </c>
      <c r="C64">
        <v>1696428</v>
      </c>
      <c r="D64">
        <v>48.310223000000001</v>
      </c>
    </row>
    <row r="65" spans="2:4" x14ac:dyDescent="0.3">
      <c r="B65">
        <v>48.331425000000003</v>
      </c>
      <c r="C65">
        <v>845809</v>
      </c>
      <c r="D65">
        <v>48.161338999999998</v>
      </c>
    </row>
    <row r="66" spans="2:4" x14ac:dyDescent="0.3">
      <c r="B66">
        <v>48.480311999999998</v>
      </c>
      <c r="C66">
        <v>2110616</v>
      </c>
      <c r="D66">
        <v>49.373359999999998</v>
      </c>
    </row>
    <row r="67" spans="2:4" x14ac:dyDescent="0.3">
      <c r="B67">
        <v>49.033175999999997</v>
      </c>
      <c r="C67">
        <v>1556962</v>
      </c>
      <c r="D67">
        <v>48.820498999999998</v>
      </c>
    </row>
    <row r="68" spans="2:4" x14ac:dyDescent="0.3">
      <c r="B68">
        <v>49.033175999999997</v>
      </c>
      <c r="C68">
        <v>975055</v>
      </c>
      <c r="D68">
        <v>48.884293</v>
      </c>
    </row>
    <row r="69" spans="2:4" x14ac:dyDescent="0.3">
      <c r="B69">
        <v>49.033175999999997</v>
      </c>
      <c r="C69">
        <v>1793813</v>
      </c>
      <c r="D69">
        <v>49.628540000000001</v>
      </c>
    </row>
    <row r="70" spans="2:4" x14ac:dyDescent="0.3">
      <c r="B70">
        <v>49.968727000000001</v>
      </c>
      <c r="C70">
        <v>2402171</v>
      </c>
      <c r="D70">
        <v>50.797969999999999</v>
      </c>
    </row>
    <row r="71" spans="2:4" x14ac:dyDescent="0.3">
      <c r="B71">
        <v>50.989364999999999</v>
      </c>
      <c r="C71">
        <v>2434633</v>
      </c>
      <c r="D71">
        <v>51.457129999999999</v>
      </c>
    </row>
    <row r="72" spans="2:4" x14ac:dyDescent="0.3">
      <c r="B72">
        <v>51.627231999999999</v>
      </c>
      <c r="C72">
        <v>1703040</v>
      </c>
      <c r="D72">
        <v>51.712318000000003</v>
      </c>
    </row>
    <row r="73" spans="2:4" x14ac:dyDescent="0.3">
      <c r="B73">
        <v>51.712318000000003</v>
      </c>
      <c r="C73">
        <v>0</v>
      </c>
      <c r="D73">
        <v>51.712318000000003</v>
      </c>
    </row>
    <row r="74" spans="2:4" x14ac:dyDescent="0.3">
      <c r="B74">
        <v>51.393344999999997</v>
      </c>
      <c r="C74">
        <v>509770</v>
      </c>
      <c r="D74">
        <v>51.457129999999999</v>
      </c>
    </row>
    <row r="75" spans="2:4" x14ac:dyDescent="0.3">
      <c r="B75">
        <v>51.414634999999997</v>
      </c>
      <c r="C75">
        <v>1505264</v>
      </c>
      <c r="D75">
        <v>52.137580999999997</v>
      </c>
    </row>
    <row r="76" spans="2:4" x14ac:dyDescent="0.3">
      <c r="B76">
        <v>52.307682</v>
      </c>
      <c r="C76">
        <v>1308089</v>
      </c>
      <c r="D76">
        <v>52.477767999999998</v>
      </c>
    </row>
    <row r="77" spans="2:4" x14ac:dyDescent="0.3">
      <c r="B77">
        <v>52.477767999999998</v>
      </c>
      <c r="C77">
        <v>0</v>
      </c>
      <c r="D77">
        <v>52.477767999999998</v>
      </c>
    </row>
    <row r="78" spans="2:4" x14ac:dyDescent="0.3">
      <c r="B78">
        <v>53.030628</v>
      </c>
      <c r="C78">
        <v>2148488</v>
      </c>
      <c r="D78">
        <v>53.115726000000002</v>
      </c>
    </row>
    <row r="79" spans="2:4" x14ac:dyDescent="0.3">
      <c r="B79">
        <v>53.158217999999998</v>
      </c>
      <c r="C79">
        <v>2052305</v>
      </c>
      <c r="D79">
        <v>52.477767999999998</v>
      </c>
    </row>
    <row r="80" spans="2:4" x14ac:dyDescent="0.3">
      <c r="B80">
        <v>52.477767999999998</v>
      </c>
      <c r="C80">
        <v>1224530</v>
      </c>
      <c r="D80">
        <v>52.328975999999997</v>
      </c>
    </row>
    <row r="81" spans="2:4" x14ac:dyDescent="0.3">
      <c r="B81">
        <v>52.520279000000002</v>
      </c>
      <c r="C81">
        <v>1015933</v>
      </c>
      <c r="D81">
        <v>52.413978999999998</v>
      </c>
    </row>
    <row r="82" spans="2:4" x14ac:dyDescent="0.3">
      <c r="B82">
        <v>52.031283999999999</v>
      </c>
      <c r="C82">
        <v>2167124</v>
      </c>
      <c r="D82">
        <v>52.031283999999999</v>
      </c>
    </row>
    <row r="83" spans="2:4" x14ac:dyDescent="0.3">
      <c r="B83">
        <v>52.095089000000002</v>
      </c>
      <c r="C83">
        <v>2208001</v>
      </c>
      <c r="D83">
        <v>52.435271999999998</v>
      </c>
    </row>
    <row r="84" spans="2:4" x14ac:dyDescent="0.3">
      <c r="B84">
        <v>52.435271999999998</v>
      </c>
      <c r="C84">
        <v>0</v>
      </c>
      <c r="D84">
        <v>52.435271999999998</v>
      </c>
    </row>
    <row r="85" spans="2:4" x14ac:dyDescent="0.3">
      <c r="B85">
        <v>51.669815</v>
      </c>
      <c r="C85">
        <v>1078452</v>
      </c>
      <c r="D85">
        <v>51.244534000000002</v>
      </c>
    </row>
    <row r="86" spans="2:4" x14ac:dyDescent="0.3">
      <c r="B86">
        <v>51.754821999999997</v>
      </c>
      <c r="C86">
        <v>1506466</v>
      </c>
      <c r="D86">
        <v>51.946204999999999</v>
      </c>
    </row>
    <row r="87" spans="2:4" x14ac:dyDescent="0.3">
      <c r="B87">
        <v>51.882407999999998</v>
      </c>
      <c r="C87">
        <v>1573193</v>
      </c>
      <c r="D87">
        <v>51.563426999999997</v>
      </c>
    </row>
    <row r="88" spans="2:4" x14ac:dyDescent="0.3">
      <c r="B88">
        <v>51.627231999999999</v>
      </c>
      <c r="C88">
        <v>1414491</v>
      </c>
      <c r="D88">
        <v>52.073794999999997</v>
      </c>
    </row>
    <row r="89" spans="2:4" x14ac:dyDescent="0.3">
      <c r="B89">
        <v>51.967498999999997</v>
      </c>
      <c r="C89">
        <v>1195074</v>
      </c>
      <c r="D89">
        <v>52.052501999999997</v>
      </c>
    </row>
    <row r="90" spans="2:4" x14ac:dyDescent="0.3">
      <c r="B90">
        <v>52.052501999999997</v>
      </c>
      <c r="C90">
        <v>973252</v>
      </c>
      <c r="D90">
        <v>52.562862000000003</v>
      </c>
    </row>
    <row r="91" spans="2:4" x14ac:dyDescent="0.3">
      <c r="B91">
        <v>53.158217999999998</v>
      </c>
      <c r="C91">
        <v>3679602</v>
      </c>
      <c r="D91">
        <v>54.81673</v>
      </c>
    </row>
    <row r="92" spans="2:4" x14ac:dyDescent="0.3">
      <c r="B92">
        <v>54.986823999999999</v>
      </c>
      <c r="C92">
        <v>4286156</v>
      </c>
      <c r="D92">
        <v>55.156993999999997</v>
      </c>
    </row>
    <row r="93" spans="2:4" x14ac:dyDescent="0.3">
      <c r="B93">
        <v>55.582180000000001</v>
      </c>
      <c r="C93">
        <v>2330034</v>
      </c>
      <c r="D93">
        <v>55.475883000000003</v>
      </c>
    </row>
    <row r="94" spans="2:4" x14ac:dyDescent="0.3">
      <c r="B94">
        <v>55.327083999999999</v>
      </c>
      <c r="C94">
        <v>2625796</v>
      </c>
      <c r="D94">
        <v>56.262633999999998</v>
      </c>
    </row>
    <row r="95" spans="2:4" x14ac:dyDescent="0.3">
      <c r="B95">
        <v>56.432727999999997</v>
      </c>
      <c r="C95">
        <v>1420503</v>
      </c>
      <c r="D95">
        <v>56.135052000000002</v>
      </c>
    </row>
    <row r="96" spans="2:4" x14ac:dyDescent="0.3">
      <c r="B96">
        <v>56.347729000000001</v>
      </c>
      <c r="C96">
        <v>1362793</v>
      </c>
      <c r="D96">
        <v>55.879955000000002</v>
      </c>
    </row>
    <row r="97" spans="2:4" x14ac:dyDescent="0.3">
      <c r="B97">
        <v>55.879955000000002</v>
      </c>
      <c r="C97">
        <v>1914042</v>
      </c>
      <c r="D97">
        <v>54.434035999999999</v>
      </c>
    </row>
    <row r="98" spans="2:4" x14ac:dyDescent="0.3">
      <c r="B98">
        <v>54.029983999999999</v>
      </c>
      <c r="C98">
        <v>1635111</v>
      </c>
      <c r="D98">
        <v>54.412754</v>
      </c>
    </row>
    <row r="99" spans="2:4" x14ac:dyDescent="0.3">
      <c r="B99">
        <v>53.838673</v>
      </c>
      <c r="C99">
        <v>2347467</v>
      </c>
      <c r="D99">
        <v>56.007454000000003</v>
      </c>
    </row>
    <row r="100" spans="2:4" x14ac:dyDescent="0.3">
      <c r="B100">
        <v>55.964958000000003</v>
      </c>
      <c r="C100">
        <v>1246171</v>
      </c>
      <c r="D100">
        <v>54.625346999999998</v>
      </c>
    </row>
    <row r="101" spans="2:4" x14ac:dyDescent="0.3">
      <c r="B101">
        <v>54.646633000000001</v>
      </c>
      <c r="C101">
        <v>2370310</v>
      </c>
      <c r="D101">
        <v>53.668506999999998</v>
      </c>
    </row>
    <row r="102" spans="2:4" x14ac:dyDescent="0.3">
      <c r="B102">
        <v>53.796084999999998</v>
      </c>
      <c r="C102">
        <v>1279234</v>
      </c>
      <c r="D102">
        <v>53.881183999999998</v>
      </c>
    </row>
    <row r="103" spans="2:4" x14ac:dyDescent="0.3">
      <c r="B103">
        <v>53.796084999999998</v>
      </c>
      <c r="C103">
        <v>2714766</v>
      </c>
      <c r="D103">
        <v>52.945549</v>
      </c>
    </row>
    <row r="104" spans="2:4" x14ac:dyDescent="0.3">
      <c r="B104">
        <v>53.370815</v>
      </c>
      <c r="C104">
        <v>1891199</v>
      </c>
      <c r="D104">
        <v>53.796084999999998</v>
      </c>
    </row>
    <row r="105" spans="2:4" x14ac:dyDescent="0.3">
      <c r="B105">
        <v>53.902386</v>
      </c>
      <c r="C105">
        <v>925160</v>
      </c>
      <c r="D105">
        <v>54.157573999999997</v>
      </c>
    </row>
    <row r="106" spans="2:4" x14ac:dyDescent="0.3">
      <c r="B106">
        <v>54.540332999999997</v>
      </c>
      <c r="C106">
        <v>1247373</v>
      </c>
      <c r="D106">
        <v>55.284508000000002</v>
      </c>
    </row>
    <row r="107" spans="2:4" x14ac:dyDescent="0.3">
      <c r="B107">
        <v>55.071911</v>
      </c>
      <c r="C107">
        <v>2785100</v>
      </c>
      <c r="D107">
        <v>57.751052999999999</v>
      </c>
    </row>
    <row r="108" spans="2:4" x14ac:dyDescent="0.3">
      <c r="B108">
        <v>58.686680000000003</v>
      </c>
      <c r="C108">
        <v>932374</v>
      </c>
      <c r="D108">
        <v>56.539116</v>
      </c>
    </row>
    <row r="109" spans="2:4" x14ac:dyDescent="0.3">
      <c r="B109">
        <v>56.539116</v>
      </c>
      <c r="C109">
        <v>0</v>
      </c>
      <c r="D109">
        <v>56.539116</v>
      </c>
    </row>
    <row r="110" spans="2:4" x14ac:dyDescent="0.3">
      <c r="B110">
        <v>56.539116</v>
      </c>
      <c r="C110">
        <v>0</v>
      </c>
      <c r="D110">
        <v>56.539116</v>
      </c>
    </row>
    <row r="111" spans="2:4" x14ac:dyDescent="0.3">
      <c r="B111">
        <v>54.986823999999999</v>
      </c>
      <c r="C111">
        <v>2940195</v>
      </c>
      <c r="D111">
        <v>53.774883000000003</v>
      </c>
    </row>
    <row r="112" spans="2:4" x14ac:dyDescent="0.3">
      <c r="B112">
        <v>54.008761999999997</v>
      </c>
      <c r="C112">
        <v>2380530</v>
      </c>
      <c r="D112">
        <v>52.711655</v>
      </c>
    </row>
    <row r="113" spans="2:4" x14ac:dyDescent="0.3">
      <c r="B113">
        <v>52.945549</v>
      </c>
      <c r="C113">
        <v>3264813</v>
      </c>
      <c r="D113">
        <v>51.861117999999998</v>
      </c>
    </row>
    <row r="114" spans="2:4" x14ac:dyDescent="0.3">
      <c r="B114">
        <v>52.201385000000002</v>
      </c>
      <c r="C114">
        <v>2372715</v>
      </c>
      <c r="D114">
        <v>52.669159000000001</v>
      </c>
    </row>
    <row r="115" spans="2:4" x14ac:dyDescent="0.3">
      <c r="B115">
        <v>53.498412999999999</v>
      </c>
      <c r="C115">
        <v>2287954</v>
      </c>
      <c r="D115">
        <v>55.263289999999998</v>
      </c>
    </row>
    <row r="116" spans="2:4" x14ac:dyDescent="0.3">
      <c r="B116">
        <v>55.454681000000001</v>
      </c>
      <c r="C116">
        <v>1654949</v>
      </c>
      <c r="D116">
        <v>54.47654</v>
      </c>
    </row>
    <row r="117" spans="2:4" x14ac:dyDescent="0.3">
      <c r="B117">
        <v>55.156993999999997</v>
      </c>
      <c r="C117">
        <v>1651943</v>
      </c>
      <c r="D117">
        <v>54.774231</v>
      </c>
    </row>
    <row r="118" spans="2:4" x14ac:dyDescent="0.3">
      <c r="B118">
        <v>55.071911</v>
      </c>
      <c r="C118">
        <v>2325224</v>
      </c>
      <c r="D118">
        <v>55.943741000000003</v>
      </c>
    </row>
    <row r="119" spans="2:4" x14ac:dyDescent="0.3">
      <c r="B119">
        <v>56.560326000000003</v>
      </c>
      <c r="C119">
        <v>4835001</v>
      </c>
      <c r="D119">
        <v>57.623539000000001</v>
      </c>
    </row>
    <row r="120" spans="2:4" x14ac:dyDescent="0.3">
      <c r="B120">
        <v>56.879299000000003</v>
      </c>
      <c r="C120">
        <v>3009928</v>
      </c>
      <c r="D120">
        <v>57.793633</v>
      </c>
    </row>
    <row r="121" spans="2:4" x14ac:dyDescent="0.3">
      <c r="B121">
        <v>58.814278000000002</v>
      </c>
      <c r="C121">
        <v>2889699</v>
      </c>
      <c r="D121">
        <v>59.239547999999999</v>
      </c>
    </row>
    <row r="122" spans="2:4" x14ac:dyDescent="0.3">
      <c r="B122">
        <v>59.239547999999999</v>
      </c>
      <c r="C122">
        <v>0</v>
      </c>
      <c r="D122">
        <v>59.239547999999999</v>
      </c>
    </row>
    <row r="123" spans="2:4" x14ac:dyDescent="0.3">
      <c r="B123">
        <v>57.410862000000002</v>
      </c>
      <c r="C123">
        <v>4526013</v>
      </c>
      <c r="D123">
        <v>56.283935999999997</v>
      </c>
    </row>
    <row r="124" spans="2:4" x14ac:dyDescent="0.3">
      <c r="B124">
        <v>56.454025000000001</v>
      </c>
      <c r="C124">
        <v>1921256</v>
      </c>
      <c r="D124">
        <v>55.454681000000001</v>
      </c>
    </row>
    <row r="125" spans="2:4" x14ac:dyDescent="0.3">
      <c r="B125">
        <v>55.071911</v>
      </c>
      <c r="C125">
        <v>3018945</v>
      </c>
      <c r="D125">
        <v>53.987479999999998</v>
      </c>
    </row>
    <row r="126" spans="2:4" x14ac:dyDescent="0.3">
      <c r="B126">
        <v>53.966178999999997</v>
      </c>
      <c r="C126">
        <v>2455072</v>
      </c>
      <c r="D126">
        <v>54.391460000000002</v>
      </c>
    </row>
    <row r="127" spans="2:4" x14ac:dyDescent="0.3">
      <c r="B127">
        <v>55.560982000000003</v>
      </c>
      <c r="C127">
        <v>991887</v>
      </c>
      <c r="D127">
        <v>54.306454000000002</v>
      </c>
    </row>
    <row r="128" spans="2:4" x14ac:dyDescent="0.3">
      <c r="B128">
        <v>54.434035999999999</v>
      </c>
      <c r="C128">
        <v>1793813</v>
      </c>
      <c r="D128">
        <v>54.391460000000002</v>
      </c>
    </row>
    <row r="129" spans="2:4" x14ac:dyDescent="0.3">
      <c r="B129">
        <v>54.434035999999999</v>
      </c>
      <c r="C129">
        <v>428615</v>
      </c>
      <c r="D129">
        <v>53.796084999999998</v>
      </c>
    </row>
    <row r="130" spans="2:4" x14ac:dyDescent="0.3">
      <c r="B130">
        <v>54.221359</v>
      </c>
      <c r="C130">
        <v>884282</v>
      </c>
      <c r="D130">
        <v>54.221359</v>
      </c>
    </row>
    <row r="131" spans="2:4" x14ac:dyDescent="0.3">
      <c r="B131">
        <v>54.646633000000001</v>
      </c>
      <c r="C131">
        <v>1416896</v>
      </c>
      <c r="D131">
        <v>54.391460000000002</v>
      </c>
    </row>
    <row r="132" spans="2:4" x14ac:dyDescent="0.3">
      <c r="B132">
        <v>55.071911</v>
      </c>
      <c r="C132">
        <v>1567783</v>
      </c>
      <c r="D132">
        <v>54.540332999999997</v>
      </c>
    </row>
    <row r="133" spans="2:4" x14ac:dyDescent="0.3">
      <c r="B133">
        <v>54.540332999999997</v>
      </c>
      <c r="C133">
        <v>0</v>
      </c>
      <c r="D133">
        <v>54.540332999999997</v>
      </c>
    </row>
    <row r="134" spans="2:4" x14ac:dyDescent="0.3">
      <c r="B134">
        <v>54.795524999999998</v>
      </c>
      <c r="C134">
        <v>1224530</v>
      </c>
      <c r="D134">
        <v>57.155681999999999</v>
      </c>
    </row>
    <row r="135" spans="2:4" x14ac:dyDescent="0.3">
      <c r="B135">
        <v>57.836136000000003</v>
      </c>
      <c r="C135">
        <v>2768268</v>
      </c>
      <c r="D135">
        <v>58.346420000000002</v>
      </c>
    </row>
    <row r="136" spans="2:4" x14ac:dyDescent="0.3">
      <c r="B136">
        <v>58.516585999999997</v>
      </c>
      <c r="C136">
        <v>2636617</v>
      </c>
      <c r="D136">
        <v>56.858006000000003</v>
      </c>
    </row>
    <row r="137" spans="2:4" x14ac:dyDescent="0.3">
      <c r="B137">
        <v>56.921802999999997</v>
      </c>
      <c r="C137">
        <v>1501657</v>
      </c>
      <c r="D137">
        <v>56.560326000000003</v>
      </c>
    </row>
    <row r="138" spans="2:4" x14ac:dyDescent="0.3">
      <c r="B138">
        <v>56.560326000000003</v>
      </c>
      <c r="C138">
        <v>0</v>
      </c>
      <c r="D138">
        <v>56.560326000000003</v>
      </c>
    </row>
    <row r="139" spans="2:4" x14ac:dyDescent="0.3">
      <c r="B139">
        <v>56.347729000000001</v>
      </c>
      <c r="C139">
        <v>2999708</v>
      </c>
      <c r="D139">
        <v>57.176983</v>
      </c>
    </row>
    <row r="140" spans="2:4" x14ac:dyDescent="0.3">
      <c r="B140">
        <v>57.325867000000002</v>
      </c>
      <c r="C140">
        <v>1665168</v>
      </c>
      <c r="D140">
        <v>57.623539000000001</v>
      </c>
    </row>
    <row r="141" spans="2:4" x14ac:dyDescent="0.3">
      <c r="B141">
        <v>57.942431999999997</v>
      </c>
      <c r="C141">
        <v>1973555</v>
      </c>
      <c r="D141">
        <v>56.560326000000003</v>
      </c>
    </row>
    <row r="142" spans="2:4" x14ac:dyDescent="0.3">
      <c r="B142">
        <v>56.794204999999998</v>
      </c>
      <c r="C142">
        <v>1431925</v>
      </c>
      <c r="D142">
        <v>57.198264999999999</v>
      </c>
    </row>
    <row r="143" spans="2:4" x14ac:dyDescent="0.3">
      <c r="B143">
        <v>56.985596000000001</v>
      </c>
      <c r="C143">
        <v>994893</v>
      </c>
      <c r="D143">
        <v>57.006881999999997</v>
      </c>
    </row>
    <row r="144" spans="2:4" x14ac:dyDescent="0.3">
      <c r="B144">
        <v>57.091892000000001</v>
      </c>
      <c r="C144">
        <v>1687411</v>
      </c>
      <c r="D144">
        <v>56.602825000000003</v>
      </c>
    </row>
    <row r="145" spans="2:4" x14ac:dyDescent="0.3">
      <c r="B145">
        <v>56.602825000000003</v>
      </c>
      <c r="C145">
        <v>0</v>
      </c>
      <c r="D145">
        <v>56.602825000000003</v>
      </c>
    </row>
    <row r="146" spans="2:4" x14ac:dyDescent="0.3">
      <c r="B146">
        <v>56.560326000000003</v>
      </c>
      <c r="C146">
        <v>1357383</v>
      </c>
      <c r="D146">
        <v>56.050037000000003</v>
      </c>
    </row>
    <row r="147" spans="2:4" x14ac:dyDescent="0.3">
      <c r="B147">
        <v>56.220131000000002</v>
      </c>
      <c r="C147">
        <v>3660365</v>
      </c>
      <c r="D147">
        <v>56.007454000000003</v>
      </c>
    </row>
    <row r="148" spans="2:4" x14ac:dyDescent="0.3">
      <c r="B148">
        <v>55.879955000000002</v>
      </c>
      <c r="C148">
        <v>2075149</v>
      </c>
      <c r="D148">
        <v>55.986252</v>
      </c>
    </row>
    <row r="149" spans="2:4" x14ac:dyDescent="0.3">
      <c r="B149">
        <v>56.092548000000001</v>
      </c>
      <c r="C149">
        <v>413587</v>
      </c>
      <c r="D149">
        <v>56.517814999999999</v>
      </c>
    </row>
    <row r="150" spans="2:4" x14ac:dyDescent="0.3">
      <c r="B150">
        <v>56.560326000000003</v>
      </c>
      <c r="C150">
        <v>1818460</v>
      </c>
      <c r="D150">
        <v>57.028098999999997</v>
      </c>
    </row>
    <row r="151" spans="2:4" x14ac:dyDescent="0.3">
      <c r="B151">
        <v>57.070686000000002</v>
      </c>
      <c r="C151">
        <v>2664270</v>
      </c>
      <c r="D151">
        <v>57.878642999999997</v>
      </c>
    </row>
    <row r="152" spans="2:4" x14ac:dyDescent="0.3">
      <c r="B152">
        <v>58.389004</v>
      </c>
      <c r="C152">
        <v>899311</v>
      </c>
      <c r="D152">
        <v>56.943085000000004</v>
      </c>
    </row>
    <row r="153" spans="2:4" x14ac:dyDescent="0.3">
      <c r="B153">
        <v>56.581608000000003</v>
      </c>
      <c r="C153">
        <v>66726</v>
      </c>
      <c r="D153">
        <v>56.985596000000001</v>
      </c>
    </row>
    <row r="154" spans="2:4" x14ac:dyDescent="0.3">
      <c r="B154">
        <v>56.985596000000001</v>
      </c>
      <c r="C154">
        <v>72137</v>
      </c>
      <c r="D154">
        <v>56.198849000000003</v>
      </c>
    </row>
    <row r="155" spans="2:4" x14ac:dyDescent="0.3">
      <c r="B155">
        <v>55.922459000000003</v>
      </c>
      <c r="C155">
        <v>1216715</v>
      </c>
      <c r="D155">
        <v>56.751708999999998</v>
      </c>
    </row>
    <row r="156" spans="2:4" x14ac:dyDescent="0.3">
      <c r="B156">
        <v>56.751708999999998</v>
      </c>
      <c r="C156">
        <v>876467</v>
      </c>
      <c r="D156">
        <v>57.176983</v>
      </c>
    </row>
    <row r="157" spans="2:4" x14ac:dyDescent="0.3">
      <c r="B157">
        <v>57.325867000000002</v>
      </c>
      <c r="C157">
        <v>1120532</v>
      </c>
      <c r="D157">
        <v>56.985596000000001</v>
      </c>
    </row>
    <row r="158" spans="2:4" x14ac:dyDescent="0.3">
      <c r="B158">
        <v>56.794204999999998</v>
      </c>
      <c r="C158">
        <v>321010</v>
      </c>
      <c r="D158">
        <v>57.432163000000003</v>
      </c>
    </row>
    <row r="159" spans="2:4" x14ac:dyDescent="0.3">
      <c r="B159">
        <v>58.027526999999999</v>
      </c>
      <c r="C159">
        <v>1926065</v>
      </c>
      <c r="D159">
        <v>58.133823</v>
      </c>
    </row>
    <row r="160" spans="2:4" x14ac:dyDescent="0.3">
      <c r="B160">
        <v>58.346420000000002</v>
      </c>
      <c r="C160">
        <v>1608661</v>
      </c>
      <c r="D160">
        <v>57.155681999999999</v>
      </c>
    </row>
    <row r="161" spans="2:4" x14ac:dyDescent="0.3">
      <c r="B161">
        <v>57.559753000000001</v>
      </c>
      <c r="C161">
        <v>400361</v>
      </c>
      <c r="D161">
        <v>57.410862000000002</v>
      </c>
    </row>
    <row r="162" spans="2:4" x14ac:dyDescent="0.3">
      <c r="B162">
        <v>57.495956</v>
      </c>
      <c r="C162">
        <v>947402</v>
      </c>
      <c r="D162">
        <v>57.368358999999998</v>
      </c>
    </row>
    <row r="163" spans="2:4" x14ac:dyDescent="0.3">
      <c r="B163">
        <v>57.623539000000001</v>
      </c>
      <c r="C163">
        <v>1595436</v>
      </c>
      <c r="D163">
        <v>58.346420000000002</v>
      </c>
    </row>
    <row r="164" spans="2:4" x14ac:dyDescent="0.3">
      <c r="B164">
        <v>58.686680000000003</v>
      </c>
      <c r="C164">
        <v>1762554</v>
      </c>
      <c r="D164">
        <v>58.431507000000003</v>
      </c>
    </row>
    <row r="165" spans="2:4" x14ac:dyDescent="0.3">
      <c r="B165">
        <v>58.686680000000003</v>
      </c>
      <c r="C165">
        <v>1662764</v>
      </c>
      <c r="D165">
        <v>58.559097000000001</v>
      </c>
    </row>
    <row r="166" spans="2:4" x14ac:dyDescent="0.3">
      <c r="B166">
        <v>58.686680000000003</v>
      </c>
      <c r="C166">
        <v>1819061</v>
      </c>
      <c r="D166">
        <v>58.261406000000001</v>
      </c>
    </row>
    <row r="167" spans="2:4" x14ac:dyDescent="0.3">
      <c r="B167">
        <v>58.133823</v>
      </c>
      <c r="C167">
        <v>1213108</v>
      </c>
      <c r="D167">
        <v>57.793633</v>
      </c>
    </row>
    <row r="168" spans="2:4" x14ac:dyDescent="0.3">
      <c r="B168">
        <v>57.985016000000002</v>
      </c>
      <c r="C168">
        <v>938986</v>
      </c>
      <c r="D168">
        <v>57.942431999999997</v>
      </c>
    </row>
    <row r="169" spans="2:4" x14ac:dyDescent="0.3">
      <c r="B169">
        <v>57.921230000000001</v>
      </c>
      <c r="C169">
        <v>1270818</v>
      </c>
      <c r="D169">
        <v>58.070030000000003</v>
      </c>
    </row>
    <row r="170" spans="2:4" x14ac:dyDescent="0.3">
      <c r="B170">
        <v>58.133823</v>
      </c>
      <c r="C170">
        <v>920952</v>
      </c>
      <c r="D170">
        <v>57.836136000000003</v>
      </c>
    </row>
    <row r="171" spans="2:4" x14ac:dyDescent="0.3">
      <c r="B171">
        <v>57.325867000000002</v>
      </c>
      <c r="C171">
        <v>2148488</v>
      </c>
      <c r="D171">
        <v>57.410862000000002</v>
      </c>
    </row>
    <row r="172" spans="2:4" x14ac:dyDescent="0.3">
      <c r="B172">
        <v>58.006225999999998</v>
      </c>
      <c r="C172">
        <v>3831691</v>
      </c>
      <c r="D172">
        <v>60.005009000000001</v>
      </c>
    </row>
    <row r="173" spans="2:4" x14ac:dyDescent="0.3">
      <c r="B173">
        <v>60.557868999999997</v>
      </c>
      <c r="C173">
        <v>3767970</v>
      </c>
      <c r="D173">
        <v>60.494076</v>
      </c>
    </row>
    <row r="174" spans="2:4" x14ac:dyDescent="0.3">
      <c r="B174">
        <v>60.557868999999997</v>
      </c>
      <c r="C174">
        <v>1006315</v>
      </c>
      <c r="D174">
        <v>60.111305000000002</v>
      </c>
    </row>
    <row r="175" spans="2:4" x14ac:dyDescent="0.3">
      <c r="B175">
        <v>60.345184000000003</v>
      </c>
      <c r="C175">
        <v>987078</v>
      </c>
      <c r="D175">
        <v>59.792327999999998</v>
      </c>
    </row>
    <row r="176" spans="2:4" x14ac:dyDescent="0.3">
      <c r="B176">
        <v>60.132598999999999</v>
      </c>
      <c r="C176">
        <v>1342955</v>
      </c>
      <c r="D176">
        <v>60.855553</v>
      </c>
    </row>
    <row r="177" spans="2:4" x14ac:dyDescent="0.3">
      <c r="B177">
        <v>60.983131</v>
      </c>
      <c r="C177">
        <v>2670281</v>
      </c>
      <c r="D177">
        <v>61.961193000000002</v>
      </c>
    </row>
    <row r="178" spans="2:4" x14ac:dyDescent="0.3">
      <c r="B178">
        <v>62.173870000000001</v>
      </c>
      <c r="C178">
        <v>1922458</v>
      </c>
      <c r="D178">
        <v>62.024979000000002</v>
      </c>
    </row>
    <row r="179" spans="2:4" x14ac:dyDescent="0.3">
      <c r="B179">
        <v>62.088776000000003</v>
      </c>
      <c r="C179">
        <v>834387</v>
      </c>
      <c r="D179">
        <v>61.663502000000001</v>
      </c>
    </row>
    <row r="180" spans="2:4" x14ac:dyDescent="0.3">
      <c r="B180">
        <v>61.663502000000001</v>
      </c>
      <c r="C180">
        <v>141869</v>
      </c>
      <c r="D180">
        <v>62.088776000000003</v>
      </c>
    </row>
    <row r="181" spans="2:4" x14ac:dyDescent="0.3">
      <c r="B181">
        <v>62.088776000000003</v>
      </c>
      <c r="C181">
        <v>1838298</v>
      </c>
      <c r="D181">
        <v>62.046280000000003</v>
      </c>
    </row>
    <row r="182" spans="2:4" x14ac:dyDescent="0.3">
      <c r="B182">
        <v>62.301453000000002</v>
      </c>
      <c r="C182">
        <v>1714462</v>
      </c>
      <c r="D182">
        <v>61.578505999999997</v>
      </c>
    </row>
    <row r="183" spans="2:4" x14ac:dyDescent="0.3">
      <c r="B183">
        <v>61.450909000000003</v>
      </c>
      <c r="C183">
        <v>1278032</v>
      </c>
      <c r="D183">
        <v>61.557205000000003</v>
      </c>
    </row>
    <row r="184" spans="2:4" x14ac:dyDescent="0.3">
      <c r="B184">
        <v>61.854897000000001</v>
      </c>
      <c r="C184">
        <v>1383833</v>
      </c>
      <c r="D184">
        <v>61.812385999999996</v>
      </c>
    </row>
    <row r="185" spans="2:4" x14ac:dyDescent="0.3">
      <c r="B185">
        <v>62.173870000000001</v>
      </c>
      <c r="C185">
        <v>2654651</v>
      </c>
      <c r="D185">
        <v>63.322097999999997</v>
      </c>
    </row>
    <row r="186" spans="2:4" x14ac:dyDescent="0.3">
      <c r="B186">
        <v>63.279513999999999</v>
      </c>
      <c r="C186">
        <v>2849422</v>
      </c>
      <c r="D186">
        <v>63.938670999999999</v>
      </c>
    </row>
    <row r="187" spans="2:4" x14ac:dyDescent="0.3">
      <c r="B187">
        <v>64.130050999999995</v>
      </c>
      <c r="C187">
        <v>2272324</v>
      </c>
      <c r="D187">
        <v>65.193282999999994</v>
      </c>
    </row>
    <row r="188" spans="2:4" x14ac:dyDescent="0.3">
      <c r="B188">
        <v>65.575965999999994</v>
      </c>
      <c r="C188">
        <v>2296370</v>
      </c>
      <c r="D188">
        <v>64.512825000000007</v>
      </c>
    </row>
    <row r="189" spans="2:4" x14ac:dyDescent="0.3">
      <c r="B189">
        <v>64.576622</v>
      </c>
      <c r="C189">
        <v>1219120</v>
      </c>
      <c r="D189">
        <v>63.789870999999998</v>
      </c>
    </row>
    <row r="190" spans="2:4" x14ac:dyDescent="0.3">
      <c r="B190">
        <v>63.789870999999998</v>
      </c>
      <c r="C190">
        <v>1261200</v>
      </c>
      <c r="D190">
        <v>63.407097</v>
      </c>
    </row>
    <row r="191" spans="2:4" x14ac:dyDescent="0.3">
      <c r="B191">
        <v>64.002464000000003</v>
      </c>
      <c r="C191">
        <v>2891502</v>
      </c>
      <c r="D191">
        <v>62.556556999999998</v>
      </c>
    </row>
    <row r="192" spans="2:4" x14ac:dyDescent="0.3">
      <c r="B192">
        <v>63.577193999999999</v>
      </c>
      <c r="C192">
        <v>3146387</v>
      </c>
      <c r="D192">
        <v>63.598480000000002</v>
      </c>
    </row>
    <row r="193" spans="2:4" x14ac:dyDescent="0.3">
      <c r="B193">
        <v>63.577193999999999</v>
      </c>
      <c r="C193">
        <v>2713564</v>
      </c>
      <c r="D193">
        <v>62.514049999999997</v>
      </c>
    </row>
    <row r="194" spans="2:4" x14ac:dyDescent="0.3">
      <c r="B194">
        <v>63.151924000000001</v>
      </c>
      <c r="C194">
        <v>1657955</v>
      </c>
      <c r="D194">
        <v>64.321442000000005</v>
      </c>
    </row>
    <row r="195" spans="2:4" x14ac:dyDescent="0.3">
      <c r="B195">
        <v>64.853012000000007</v>
      </c>
      <c r="C195">
        <v>2059519</v>
      </c>
      <c r="D195">
        <v>66.022521999999995</v>
      </c>
    </row>
    <row r="196" spans="2:4" x14ac:dyDescent="0.3">
      <c r="B196">
        <v>65.916145</v>
      </c>
      <c r="C196">
        <v>931773</v>
      </c>
      <c r="D196">
        <v>66.724197000000004</v>
      </c>
    </row>
    <row r="197" spans="2:4" x14ac:dyDescent="0.3">
      <c r="B197">
        <v>67.106964000000005</v>
      </c>
      <c r="C197">
        <v>2287954</v>
      </c>
      <c r="D197">
        <v>68.042518999999999</v>
      </c>
    </row>
    <row r="198" spans="2:4" x14ac:dyDescent="0.3">
      <c r="B198">
        <v>68.361487999999994</v>
      </c>
      <c r="C198">
        <v>5354990</v>
      </c>
      <c r="D198">
        <v>65.001900000000006</v>
      </c>
    </row>
    <row r="199" spans="2:4" x14ac:dyDescent="0.3">
      <c r="B199">
        <v>65.065680999999998</v>
      </c>
      <c r="C199">
        <v>6248290</v>
      </c>
      <c r="D199">
        <v>62.981822999999999</v>
      </c>
    </row>
    <row r="200" spans="2:4" x14ac:dyDescent="0.3">
      <c r="B200">
        <v>63.151924000000001</v>
      </c>
      <c r="C200">
        <v>2119633</v>
      </c>
      <c r="D200">
        <v>62.322670000000002</v>
      </c>
    </row>
    <row r="201" spans="2:4" x14ac:dyDescent="0.3">
      <c r="B201">
        <v>62.726643000000003</v>
      </c>
      <c r="C201">
        <v>1953718</v>
      </c>
      <c r="D201">
        <v>63.194499999999998</v>
      </c>
    </row>
    <row r="202" spans="2:4" x14ac:dyDescent="0.3">
      <c r="B202">
        <v>63.492184000000002</v>
      </c>
      <c r="C202">
        <v>937784</v>
      </c>
      <c r="D202">
        <v>63.151924000000001</v>
      </c>
    </row>
    <row r="203" spans="2:4" x14ac:dyDescent="0.3">
      <c r="B203">
        <v>63.726078000000001</v>
      </c>
      <c r="C203">
        <v>1767363</v>
      </c>
      <c r="D203">
        <v>63.237003000000001</v>
      </c>
    </row>
    <row r="204" spans="2:4" x14ac:dyDescent="0.3">
      <c r="B204">
        <v>62.514049999999997</v>
      </c>
      <c r="C204">
        <v>1698832</v>
      </c>
      <c r="D204">
        <v>62.280169999999998</v>
      </c>
    </row>
    <row r="205" spans="2:4" x14ac:dyDescent="0.3">
      <c r="B205">
        <v>61.748600000000003</v>
      </c>
      <c r="C205">
        <v>911334</v>
      </c>
      <c r="D205">
        <v>62.514049999999997</v>
      </c>
    </row>
    <row r="206" spans="2:4" x14ac:dyDescent="0.3">
      <c r="B206">
        <v>62.811729</v>
      </c>
      <c r="C206">
        <v>981067</v>
      </c>
      <c r="D206">
        <v>63.577193999999999</v>
      </c>
    </row>
    <row r="207" spans="2:4" x14ac:dyDescent="0.3">
      <c r="B207">
        <v>63.534694999999999</v>
      </c>
      <c r="C207">
        <v>1713260</v>
      </c>
      <c r="D207">
        <v>62.067574</v>
      </c>
    </row>
    <row r="208" spans="2:4" x14ac:dyDescent="0.3">
      <c r="B208">
        <v>62.386467000000003</v>
      </c>
      <c r="C208">
        <v>1240761</v>
      </c>
      <c r="D208">
        <v>60.855553</v>
      </c>
    </row>
    <row r="209" spans="2:4" x14ac:dyDescent="0.3">
      <c r="B209">
        <v>61.238239</v>
      </c>
      <c r="C209">
        <v>2660663</v>
      </c>
      <c r="D209">
        <v>58.197612999999997</v>
      </c>
    </row>
    <row r="210" spans="2:4" x14ac:dyDescent="0.3">
      <c r="B210">
        <v>56.560326000000003</v>
      </c>
      <c r="C210">
        <v>2581312</v>
      </c>
      <c r="D210">
        <v>58.155109000000003</v>
      </c>
    </row>
    <row r="211" spans="2:4" x14ac:dyDescent="0.3">
      <c r="B211">
        <v>58.899281000000002</v>
      </c>
      <c r="C211">
        <v>1951313</v>
      </c>
      <c r="D211">
        <v>60.983131</v>
      </c>
    </row>
    <row r="212" spans="2:4" x14ac:dyDescent="0.3">
      <c r="B212">
        <v>61.706088999999999</v>
      </c>
      <c r="C212">
        <v>408777</v>
      </c>
      <c r="D212">
        <v>60.898052</v>
      </c>
    </row>
    <row r="213" spans="2:4" x14ac:dyDescent="0.3">
      <c r="B213">
        <v>61.939982999999998</v>
      </c>
      <c r="C213">
        <v>957021</v>
      </c>
      <c r="D213">
        <v>61.642302999999998</v>
      </c>
    </row>
    <row r="214" spans="2:4" x14ac:dyDescent="0.3">
      <c r="B214">
        <v>59.749825000000001</v>
      </c>
      <c r="C214">
        <v>2434633</v>
      </c>
      <c r="D214">
        <v>59.154452999999997</v>
      </c>
    </row>
    <row r="215" spans="2:4" x14ac:dyDescent="0.3">
      <c r="B215">
        <v>59.111958000000001</v>
      </c>
      <c r="C215">
        <v>8416</v>
      </c>
      <c r="D215">
        <v>59.260750000000002</v>
      </c>
    </row>
    <row r="216" spans="2:4" x14ac:dyDescent="0.3">
      <c r="B216">
        <v>58.218910000000001</v>
      </c>
      <c r="C216">
        <v>5825085</v>
      </c>
      <c r="D216">
        <v>57.410862000000002</v>
      </c>
    </row>
    <row r="217" spans="2:4" x14ac:dyDescent="0.3">
      <c r="B217">
        <v>56.985596000000001</v>
      </c>
      <c r="C217">
        <v>5838310</v>
      </c>
      <c r="D217">
        <v>57.878642999999997</v>
      </c>
    </row>
    <row r="218" spans="2:4" x14ac:dyDescent="0.3">
      <c r="B218">
        <v>58.431507000000003</v>
      </c>
      <c r="C218">
        <v>5328540</v>
      </c>
      <c r="D218">
        <v>56.581608000000003</v>
      </c>
    </row>
    <row r="219" spans="2:4" x14ac:dyDescent="0.3">
      <c r="B219">
        <v>56.560326000000003</v>
      </c>
      <c r="C219">
        <v>1074845</v>
      </c>
      <c r="D219">
        <v>56.135052000000002</v>
      </c>
    </row>
    <row r="220" spans="2:4" x14ac:dyDescent="0.3">
      <c r="B220">
        <v>56.773003000000003</v>
      </c>
      <c r="C220">
        <v>3553963</v>
      </c>
      <c r="D220">
        <v>58.027526999999999</v>
      </c>
    </row>
    <row r="221" spans="2:4" x14ac:dyDescent="0.3">
      <c r="B221">
        <v>58.176327000000001</v>
      </c>
      <c r="C221">
        <v>4245278</v>
      </c>
      <c r="D221">
        <v>58.941775999999997</v>
      </c>
    </row>
    <row r="222" spans="2:4" x14ac:dyDescent="0.3">
      <c r="B222">
        <v>60.770454000000001</v>
      </c>
      <c r="C222">
        <v>6720789</v>
      </c>
      <c r="D222">
        <v>58.856777000000001</v>
      </c>
    </row>
    <row r="223" spans="2:4" x14ac:dyDescent="0.3">
      <c r="B223">
        <v>58.601601000000002</v>
      </c>
      <c r="C223">
        <v>2895109</v>
      </c>
      <c r="D223">
        <v>59.111958000000001</v>
      </c>
    </row>
    <row r="224" spans="2:4" x14ac:dyDescent="0.3">
      <c r="B224">
        <v>59.111958000000001</v>
      </c>
      <c r="C224">
        <v>2566884</v>
      </c>
      <c r="D224">
        <v>58.984360000000002</v>
      </c>
    </row>
    <row r="225" spans="2:4" x14ac:dyDescent="0.3">
      <c r="B225">
        <v>58.814278000000002</v>
      </c>
      <c r="C225">
        <v>3893008</v>
      </c>
      <c r="D225">
        <v>59.919918000000003</v>
      </c>
    </row>
    <row r="226" spans="2:4" x14ac:dyDescent="0.3">
      <c r="B226">
        <v>59.664814</v>
      </c>
      <c r="C226">
        <v>3521501</v>
      </c>
      <c r="D226">
        <v>59.473438000000002</v>
      </c>
    </row>
    <row r="227" spans="2:4" x14ac:dyDescent="0.3">
      <c r="B227">
        <v>59.537230999999998</v>
      </c>
      <c r="C227">
        <v>15898489</v>
      </c>
      <c r="D227">
        <v>57.963734000000002</v>
      </c>
    </row>
    <row r="228" spans="2:4" x14ac:dyDescent="0.3">
      <c r="B228">
        <v>57.410862000000002</v>
      </c>
      <c r="C228">
        <v>5411498</v>
      </c>
      <c r="D228">
        <v>56.539116</v>
      </c>
    </row>
    <row r="229" spans="2:4" x14ac:dyDescent="0.3">
      <c r="B229">
        <v>56.347729000000001</v>
      </c>
      <c r="C229">
        <v>7912257</v>
      </c>
      <c r="D229">
        <v>54.136364</v>
      </c>
    </row>
    <row r="230" spans="2:4" x14ac:dyDescent="0.3">
      <c r="B230">
        <v>55.199500999999998</v>
      </c>
      <c r="C230">
        <v>7046609</v>
      </c>
      <c r="D230">
        <v>54.689132999999998</v>
      </c>
    </row>
    <row r="231" spans="2:4" x14ac:dyDescent="0.3">
      <c r="B231">
        <v>54.646633000000001</v>
      </c>
      <c r="C231">
        <v>7317124</v>
      </c>
      <c r="D231">
        <v>55.560982000000003</v>
      </c>
    </row>
    <row r="232" spans="2:4" x14ac:dyDescent="0.3">
      <c r="B232">
        <v>56.007454000000003</v>
      </c>
      <c r="C232">
        <v>7413307</v>
      </c>
      <c r="D232">
        <v>56.602825000000003</v>
      </c>
    </row>
    <row r="233" spans="2:4" x14ac:dyDescent="0.3">
      <c r="B233">
        <v>56.773003000000003</v>
      </c>
      <c r="C233">
        <v>4132263</v>
      </c>
      <c r="D233">
        <v>56.496529000000002</v>
      </c>
    </row>
    <row r="234" spans="2:4" x14ac:dyDescent="0.3">
      <c r="B234">
        <v>56.645412</v>
      </c>
      <c r="C234">
        <v>5713272</v>
      </c>
      <c r="D234">
        <v>57.240775999999997</v>
      </c>
    </row>
    <row r="235" spans="2:4" x14ac:dyDescent="0.3">
      <c r="B235">
        <v>57.495956</v>
      </c>
      <c r="C235">
        <v>5266021</v>
      </c>
      <c r="D235">
        <v>59.345847999999997</v>
      </c>
    </row>
    <row r="236" spans="2:4" x14ac:dyDescent="0.3">
      <c r="B236">
        <v>59.622227000000002</v>
      </c>
      <c r="C236">
        <v>3582818</v>
      </c>
      <c r="D236">
        <v>59.005580999999999</v>
      </c>
    </row>
    <row r="237" spans="2:4" x14ac:dyDescent="0.3">
      <c r="B237">
        <v>59.005580999999999</v>
      </c>
      <c r="C237">
        <v>7783612</v>
      </c>
      <c r="D237">
        <v>61.323326000000002</v>
      </c>
    </row>
    <row r="238" spans="2:4" x14ac:dyDescent="0.3">
      <c r="B238">
        <v>61.110649000000002</v>
      </c>
      <c r="C238">
        <v>6538042</v>
      </c>
      <c r="D238">
        <v>61.259529000000001</v>
      </c>
    </row>
    <row r="239" spans="2:4" x14ac:dyDescent="0.3">
      <c r="B239">
        <v>60.536574999999999</v>
      </c>
      <c r="C239">
        <v>3853333</v>
      </c>
      <c r="D239">
        <v>61.068145999999999</v>
      </c>
    </row>
    <row r="240" spans="2:4" x14ac:dyDescent="0.3">
      <c r="B240">
        <v>60.600372</v>
      </c>
      <c r="C240">
        <v>1339348</v>
      </c>
      <c r="D240">
        <v>60.727955000000001</v>
      </c>
    </row>
    <row r="241" spans="2:4" x14ac:dyDescent="0.3">
      <c r="B241">
        <v>61.004353000000002</v>
      </c>
      <c r="C241">
        <v>5187872</v>
      </c>
      <c r="D241">
        <v>61.429622999999999</v>
      </c>
    </row>
    <row r="242" spans="2:4" x14ac:dyDescent="0.3">
      <c r="B242">
        <v>60.812964999999998</v>
      </c>
      <c r="C242">
        <v>3414497</v>
      </c>
      <c r="D242">
        <v>62.471553999999998</v>
      </c>
    </row>
    <row r="243" spans="2:4" x14ac:dyDescent="0.3">
      <c r="B243">
        <v>62.599136000000001</v>
      </c>
      <c r="C243">
        <v>4070947</v>
      </c>
      <c r="D243">
        <v>61.642302999999998</v>
      </c>
    </row>
    <row r="244" spans="2:4" x14ac:dyDescent="0.3">
      <c r="B244">
        <v>61.642302999999998</v>
      </c>
      <c r="C244">
        <v>0</v>
      </c>
      <c r="D244">
        <v>61.642302999999998</v>
      </c>
    </row>
    <row r="245" spans="2:4" x14ac:dyDescent="0.3">
      <c r="B245">
        <v>61.684803000000002</v>
      </c>
      <c r="C245">
        <v>3580413</v>
      </c>
      <c r="D245">
        <v>61.280822999999998</v>
      </c>
    </row>
    <row r="246" spans="2:4" x14ac:dyDescent="0.3">
      <c r="B246">
        <v>61.238239</v>
      </c>
      <c r="C246">
        <v>4209210</v>
      </c>
      <c r="D246">
        <v>60.153796999999997</v>
      </c>
    </row>
    <row r="247" spans="2:4" x14ac:dyDescent="0.3">
      <c r="B247">
        <v>60.685375000000001</v>
      </c>
      <c r="C247">
        <v>6623404</v>
      </c>
      <c r="D247">
        <v>58.133823</v>
      </c>
    </row>
    <row r="248" spans="2:4" x14ac:dyDescent="0.3">
      <c r="B248">
        <v>57.921230000000001</v>
      </c>
      <c r="C248">
        <v>6447870</v>
      </c>
      <c r="D248">
        <v>57.751052999999999</v>
      </c>
    </row>
    <row r="249" spans="2:4" x14ac:dyDescent="0.3">
      <c r="B249">
        <v>58.218910000000001</v>
      </c>
      <c r="C249">
        <v>4290965</v>
      </c>
      <c r="D249">
        <v>57.432163000000003</v>
      </c>
    </row>
    <row r="250" spans="2:4" x14ac:dyDescent="0.3">
      <c r="B250">
        <v>57.921230000000001</v>
      </c>
      <c r="C250">
        <v>2892704</v>
      </c>
      <c r="D250">
        <v>58.197612999999997</v>
      </c>
    </row>
    <row r="251" spans="2:4" x14ac:dyDescent="0.3">
      <c r="B251">
        <v>58.686680000000003</v>
      </c>
      <c r="C251">
        <v>3409688</v>
      </c>
      <c r="D251">
        <v>57.113177999999998</v>
      </c>
    </row>
    <row r="252" spans="2:4" x14ac:dyDescent="0.3">
      <c r="B252">
        <v>56.815505999999999</v>
      </c>
      <c r="C252">
        <v>5278044</v>
      </c>
      <c r="D252">
        <v>56.964306000000001</v>
      </c>
    </row>
    <row r="253" spans="2:4" x14ac:dyDescent="0.3">
      <c r="B253">
        <v>57.113177999999998</v>
      </c>
      <c r="C253">
        <v>4260908</v>
      </c>
      <c r="D253">
        <v>57.559753000000001</v>
      </c>
    </row>
    <row r="254" spans="2:4" x14ac:dyDescent="0.3">
      <c r="B254">
        <v>57.198264999999999</v>
      </c>
      <c r="C254">
        <v>5174647</v>
      </c>
      <c r="D254">
        <v>56.368931000000003</v>
      </c>
    </row>
    <row r="255" spans="2:4" x14ac:dyDescent="0.3">
      <c r="B255">
        <v>56.454025000000001</v>
      </c>
      <c r="C255">
        <v>3763161</v>
      </c>
      <c r="D255">
        <v>56.198849000000003</v>
      </c>
    </row>
    <row r="256" spans="2:4" x14ac:dyDescent="0.3">
      <c r="B256">
        <v>56.645412</v>
      </c>
      <c r="C256">
        <v>3483028</v>
      </c>
      <c r="D256">
        <v>57.368358999999998</v>
      </c>
    </row>
    <row r="257" spans="2:4" x14ac:dyDescent="0.3">
      <c r="B257">
        <v>57.198264999999999</v>
      </c>
      <c r="C257">
        <v>5954932</v>
      </c>
      <c r="D257">
        <v>56.390231999999997</v>
      </c>
    </row>
    <row r="258" spans="2:4" x14ac:dyDescent="0.3">
      <c r="B258">
        <v>56.347729000000001</v>
      </c>
      <c r="C258">
        <v>9546166</v>
      </c>
      <c r="D258">
        <v>53.392116999999999</v>
      </c>
    </row>
    <row r="259" spans="2:4" x14ac:dyDescent="0.3">
      <c r="B259">
        <v>53.923682999999997</v>
      </c>
      <c r="C259">
        <v>5142185</v>
      </c>
      <c r="D259">
        <v>54.582836</v>
      </c>
    </row>
    <row r="260" spans="2:4" x14ac:dyDescent="0.3">
      <c r="B260">
        <v>53.264519</v>
      </c>
      <c r="C260">
        <v>6212222</v>
      </c>
      <c r="D260">
        <v>52.201385000000002</v>
      </c>
    </row>
    <row r="261" spans="2:4" x14ac:dyDescent="0.3">
      <c r="B261">
        <v>48.480311999999998</v>
      </c>
      <c r="C261">
        <v>14952855</v>
      </c>
      <c r="D261">
        <v>48.480311999999998</v>
      </c>
    </row>
    <row r="262" spans="2:4" x14ac:dyDescent="0.3">
      <c r="B262">
        <v>49.543446000000003</v>
      </c>
      <c r="C262">
        <v>7128365</v>
      </c>
      <c r="D262">
        <v>50.2239</v>
      </c>
    </row>
    <row r="263" spans="2:4" x14ac:dyDescent="0.3">
      <c r="B263">
        <v>48.735492999999998</v>
      </c>
      <c r="C263">
        <v>9498075</v>
      </c>
      <c r="D263">
        <v>48.416519000000001</v>
      </c>
    </row>
    <row r="264" spans="2:4" x14ac:dyDescent="0.3">
      <c r="B264">
        <v>48.692909</v>
      </c>
      <c r="C264">
        <v>7919471</v>
      </c>
      <c r="D264">
        <v>49.24577</v>
      </c>
    </row>
    <row r="265" spans="2:4" x14ac:dyDescent="0.3">
      <c r="B265">
        <v>49.968727000000001</v>
      </c>
      <c r="C265">
        <v>5134972</v>
      </c>
      <c r="D265">
        <v>50.904266</v>
      </c>
    </row>
    <row r="266" spans="2:4" x14ac:dyDescent="0.3">
      <c r="B266">
        <v>51.244534000000002</v>
      </c>
      <c r="C266">
        <v>4741823</v>
      </c>
      <c r="D266">
        <v>49.883628999999999</v>
      </c>
    </row>
    <row r="267" spans="2:4" x14ac:dyDescent="0.3">
      <c r="B267">
        <v>50.457787000000003</v>
      </c>
      <c r="C267">
        <v>3795623</v>
      </c>
      <c r="D267">
        <v>49.968727000000001</v>
      </c>
    </row>
    <row r="268" spans="2:4" x14ac:dyDescent="0.3">
      <c r="B268">
        <v>49.841137000000003</v>
      </c>
      <c r="C268">
        <v>2581312</v>
      </c>
      <c r="D268">
        <v>49.203270000000003</v>
      </c>
    </row>
    <row r="269" spans="2:4" x14ac:dyDescent="0.3">
      <c r="B269">
        <v>48.480311999999998</v>
      </c>
      <c r="C269">
        <v>6479130</v>
      </c>
      <c r="D269">
        <v>47.629767999999999</v>
      </c>
    </row>
    <row r="270" spans="2:4" x14ac:dyDescent="0.3">
      <c r="B270">
        <v>47.629767999999999</v>
      </c>
      <c r="C270">
        <v>4674495</v>
      </c>
      <c r="D270">
        <v>46.651626999999998</v>
      </c>
    </row>
    <row r="271" spans="2:4" x14ac:dyDescent="0.3">
      <c r="B271">
        <v>46.353951000000002</v>
      </c>
      <c r="C271">
        <v>7012945</v>
      </c>
      <c r="D271">
        <v>47.332076999999998</v>
      </c>
    </row>
    <row r="272" spans="2:4" x14ac:dyDescent="0.3">
      <c r="B272">
        <v>46.481541</v>
      </c>
      <c r="C272">
        <v>5635123</v>
      </c>
      <c r="D272">
        <v>47.204487</v>
      </c>
    </row>
    <row r="273" spans="2:4" x14ac:dyDescent="0.3">
      <c r="B273">
        <v>46.779223999999999</v>
      </c>
      <c r="C273">
        <v>5397070</v>
      </c>
      <c r="D273">
        <v>48.544102000000002</v>
      </c>
    </row>
    <row r="274" spans="2:4" x14ac:dyDescent="0.3">
      <c r="B274">
        <v>48.905579000000003</v>
      </c>
      <c r="C274">
        <v>6777297</v>
      </c>
      <c r="D274">
        <v>47.459674999999997</v>
      </c>
    </row>
    <row r="275" spans="2:4" x14ac:dyDescent="0.3">
      <c r="B275">
        <v>48.820498999999998</v>
      </c>
      <c r="C275">
        <v>5881592</v>
      </c>
      <c r="D275">
        <v>49.947432999999997</v>
      </c>
    </row>
    <row r="276" spans="2:4" x14ac:dyDescent="0.3">
      <c r="B276">
        <v>49.883628999999999</v>
      </c>
      <c r="C276">
        <v>4165927</v>
      </c>
      <c r="D276">
        <v>50.053814000000003</v>
      </c>
    </row>
    <row r="277" spans="2:4" x14ac:dyDescent="0.3">
      <c r="B277">
        <v>49.330849000000001</v>
      </c>
      <c r="C277">
        <v>3575604</v>
      </c>
      <c r="D277">
        <v>50.372706999999998</v>
      </c>
    </row>
    <row r="278" spans="2:4" x14ac:dyDescent="0.3">
      <c r="B278">
        <v>50.819271000000001</v>
      </c>
      <c r="C278">
        <v>4240469</v>
      </c>
      <c r="D278">
        <v>50.564082999999997</v>
      </c>
    </row>
    <row r="279" spans="2:4" x14ac:dyDescent="0.3">
      <c r="B279">
        <v>51.244534000000002</v>
      </c>
      <c r="C279">
        <v>4938999</v>
      </c>
      <c r="D279">
        <v>50.861773999999997</v>
      </c>
    </row>
    <row r="280" spans="2:4" x14ac:dyDescent="0.3">
      <c r="B280">
        <v>51.031863999999999</v>
      </c>
      <c r="C280">
        <v>2908334</v>
      </c>
      <c r="D280">
        <v>49.160682999999999</v>
      </c>
    </row>
    <row r="281" spans="2:4" x14ac:dyDescent="0.3">
      <c r="B281">
        <v>48.905579000000003</v>
      </c>
      <c r="C281">
        <v>871658</v>
      </c>
      <c r="D281">
        <v>50.117516000000002</v>
      </c>
    </row>
    <row r="282" spans="2:4" x14ac:dyDescent="0.3">
      <c r="B282">
        <v>50.819271000000001</v>
      </c>
      <c r="C282">
        <v>1917649</v>
      </c>
      <c r="D282">
        <v>52.732956000000001</v>
      </c>
    </row>
    <row r="283" spans="2:4" x14ac:dyDescent="0.3">
      <c r="B283">
        <v>53.158217999999998</v>
      </c>
      <c r="C283">
        <v>896906</v>
      </c>
      <c r="D283">
        <v>53.136929000000002</v>
      </c>
    </row>
    <row r="284" spans="2:4" x14ac:dyDescent="0.3">
      <c r="B284">
        <v>53.307026</v>
      </c>
      <c r="C284">
        <v>964234</v>
      </c>
      <c r="D284">
        <v>53.370815</v>
      </c>
    </row>
    <row r="285" spans="2:4" x14ac:dyDescent="0.3">
      <c r="B285">
        <v>53.796084999999998</v>
      </c>
      <c r="C285">
        <v>1763756</v>
      </c>
      <c r="D285">
        <v>55.497185000000002</v>
      </c>
    </row>
    <row r="286" spans="2:4" x14ac:dyDescent="0.3">
      <c r="B286">
        <v>55.624775</v>
      </c>
      <c r="C286">
        <v>1209501</v>
      </c>
      <c r="D286">
        <v>54.774231</v>
      </c>
    </row>
    <row r="287" spans="2:4" x14ac:dyDescent="0.3">
      <c r="B287">
        <v>54.710433999999999</v>
      </c>
      <c r="C287">
        <v>902918</v>
      </c>
      <c r="D287">
        <v>54.200156999999997</v>
      </c>
    </row>
    <row r="288" spans="2:4" x14ac:dyDescent="0.3">
      <c r="B288">
        <v>54.47654</v>
      </c>
      <c r="C288">
        <v>1235952</v>
      </c>
      <c r="D288">
        <v>54.434035999999999</v>
      </c>
    </row>
    <row r="289" spans="2:4" x14ac:dyDescent="0.3">
      <c r="B289">
        <v>54.115062999999999</v>
      </c>
      <c r="C289">
        <v>923357</v>
      </c>
      <c r="D289">
        <v>54.434035999999999</v>
      </c>
    </row>
    <row r="290" spans="2:4" x14ac:dyDescent="0.3">
      <c r="B290">
        <v>54.434035999999999</v>
      </c>
      <c r="C290">
        <v>759846</v>
      </c>
      <c r="D290">
        <v>54.434035999999999</v>
      </c>
    </row>
    <row r="291" spans="2:4" x14ac:dyDescent="0.3">
      <c r="B291">
        <v>54.412754</v>
      </c>
      <c r="C291">
        <v>434025</v>
      </c>
      <c r="D291">
        <v>53.923682999999997</v>
      </c>
    </row>
    <row r="292" spans="2:4" x14ac:dyDescent="0.3">
      <c r="B292">
        <v>54.008761999999997</v>
      </c>
      <c r="C292">
        <v>367900</v>
      </c>
      <c r="D292">
        <v>53.243232999999996</v>
      </c>
    </row>
    <row r="293" spans="2:4" x14ac:dyDescent="0.3">
      <c r="B293">
        <v>51.924903999999998</v>
      </c>
      <c r="C293">
        <v>978662</v>
      </c>
      <c r="D293">
        <v>52.243881000000002</v>
      </c>
    </row>
    <row r="294" spans="2:4" x14ac:dyDescent="0.3">
      <c r="B294">
        <v>52.137580999999997</v>
      </c>
      <c r="C294">
        <v>617976</v>
      </c>
      <c r="D294">
        <v>51.903694000000002</v>
      </c>
    </row>
    <row r="295" spans="2:4" x14ac:dyDescent="0.3">
      <c r="B295">
        <v>52.307682</v>
      </c>
      <c r="C295">
        <v>694922</v>
      </c>
      <c r="D295">
        <v>52.520279000000002</v>
      </c>
    </row>
    <row r="296" spans="2:4" x14ac:dyDescent="0.3">
      <c r="B296">
        <v>53.030628</v>
      </c>
      <c r="C296">
        <v>989483</v>
      </c>
      <c r="D296">
        <v>53.498412999999999</v>
      </c>
    </row>
    <row r="297" spans="2:4" x14ac:dyDescent="0.3">
      <c r="B297">
        <v>53.370815</v>
      </c>
      <c r="C297">
        <v>1074845</v>
      </c>
      <c r="D297">
        <v>53.370815</v>
      </c>
    </row>
    <row r="298" spans="2:4" x14ac:dyDescent="0.3">
      <c r="B298">
        <v>53.158217999999998</v>
      </c>
      <c r="C298">
        <v>801926</v>
      </c>
      <c r="D298">
        <v>52.860545999999999</v>
      </c>
    </row>
    <row r="299" spans="2:4" x14ac:dyDescent="0.3">
      <c r="B299">
        <v>51.627231999999999</v>
      </c>
      <c r="C299">
        <v>1685607</v>
      </c>
      <c r="D299">
        <v>49.267063</v>
      </c>
    </row>
    <row r="300" spans="2:4" x14ac:dyDescent="0.3">
      <c r="B300">
        <v>49.756129999999999</v>
      </c>
      <c r="C300">
        <v>946200</v>
      </c>
      <c r="D300">
        <v>50.585377000000001</v>
      </c>
    </row>
    <row r="301" spans="2:4" x14ac:dyDescent="0.3">
      <c r="B301">
        <v>50.734183999999999</v>
      </c>
      <c r="C301">
        <v>703338</v>
      </c>
      <c r="D301">
        <v>51.797398000000001</v>
      </c>
    </row>
    <row r="302" spans="2:4" x14ac:dyDescent="0.3">
      <c r="B302">
        <v>51.797398000000001</v>
      </c>
      <c r="C302">
        <v>0</v>
      </c>
      <c r="D302">
        <v>51.797398000000001</v>
      </c>
    </row>
    <row r="303" spans="2:4" x14ac:dyDescent="0.3">
      <c r="B303">
        <v>51.797398000000001</v>
      </c>
      <c r="C303">
        <v>0</v>
      </c>
      <c r="D303">
        <v>51.797398000000001</v>
      </c>
    </row>
    <row r="304" spans="2:4" x14ac:dyDescent="0.3">
      <c r="B304">
        <v>51.797398000000001</v>
      </c>
      <c r="C304">
        <v>0</v>
      </c>
      <c r="D304">
        <v>51.797398000000001</v>
      </c>
    </row>
    <row r="305" spans="2:4" x14ac:dyDescent="0.3">
      <c r="B305">
        <v>51.244534000000002</v>
      </c>
      <c r="C305">
        <v>928166</v>
      </c>
      <c r="D305">
        <v>52.775458999999998</v>
      </c>
    </row>
    <row r="306" spans="2:4" x14ac:dyDescent="0.3">
      <c r="B306">
        <v>53.200729000000003</v>
      </c>
      <c r="C306">
        <v>680495</v>
      </c>
      <c r="D306">
        <v>53.583492</v>
      </c>
    </row>
    <row r="307" spans="2:4" x14ac:dyDescent="0.3">
      <c r="B307">
        <v>53.583492</v>
      </c>
      <c r="C307">
        <v>0</v>
      </c>
      <c r="D307">
        <v>53.583492</v>
      </c>
    </row>
    <row r="308" spans="2:4" x14ac:dyDescent="0.3">
      <c r="B308">
        <v>53.583492</v>
      </c>
      <c r="C308">
        <v>0</v>
      </c>
      <c r="D308">
        <v>53.583492</v>
      </c>
    </row>
    <row r="309" spans="2:4" x14ac:dyDescent="0.3">
      <c r="B309">
        <v>54.47654</v>
      </c>
      <c r="C309">
        <v>1213108</v>
      </c>
      <c r="D309">
        <v>56.028754999999997</v>
      </c>
    </row>
    <row r="310" spans="2:4" x14ac:dyDescent="0.3">
      <c r="B310">
        <v>55.709781999999997</v>
      </c>
      <c r="C310">
        <v>1813050</v>
      </c>
      <c r="D310">
        <v>57.283279</v>
      </c>
    </row>
    <row r="311" spans="2:4" x14ac:dyDescent="0.3">
      <c r="B311">
        <v>57.410862000000002</v>
      </c>
      <c r="C311">
        <v>1173433</v>
      </c>
      <c r="D311">
        <v>56.645412</v>
      </c>
    </row>
    <row r="312" spans="2:4" x14ac:dyDescent="0.3">
      <c r="B312">
        <v>56.517814999999999</v>
      </c>
      <c r="C312">
        <v>1278032</v>
      </c>
      <c r="D312">
        <v>56.560326000000003</v>
      </c>
    </row>
    <row r="313" spans="2:4" x14ac:dyDescent="0.3">
      <c r="B313">
        <v>56.985596000000001</v>
      </c>
      <c r="C313">
        <v>1187860</v>
      </c>
      <c r="D313">
        <v>54.689132999999998</v>
      </c>
    </row>
    <row r="314" spans="2:4" x14ac:dyDescent="0.3">
      <c r="B314">
        <v>54.263863000000001</v>
      </c>
      <c r="C314">
        <v>1488432</v>
      </c>
      <c r="D314">
        <v>53.243232999999996</v>
      </c>
    </row>
    <row r="315" spans="2:4" x14ac:dyDescent="0.3">
      <c r="B315">
        <v>50.776767999999997</v>
      </c>
      <c r="C315">
        <v>1150589</v>
      </c>
      <c r="D315">
        <v>51.882407999999998</v>
      </c>
    </row>
    <row r="316" spans="2:4" x14ac:dyDescent="0.3">
      <c r="B316">
        <v>52.690444999999997</v>
      </c>
      <c r="C316">
        <v>1202288</v>
      </c>
      <c r="D316">
        <v>51.584721000000002</v>
      </c>
    </row>
    <row r="317" spans="2:4" x14ac:dyDescent="0.3">
      <c r="B317">
        <v>52.307682</v>
      </c>
      <c r="C317">
        <v>762250</v>
      </c>
      <c r="D317">
        <v>51.669815</v>
      </c>
    </row>
    <row r="318" spans="2:4" x14ac:dyDescent="0.3">
      <c r="B318">
        <v>51.287044999999999</v>
      </c>
      <c r="C318">
        <v>619178</v>
      </c>
      <c r="D318">
        <v>51.584721000000002</v>
      </c>
    </row>
    <row r="319" spans="2:4" x14ac:dyDescent="0.3">
      <c r="B319">
        <v>52.860545999999999</v>
      </c>
      <c r="C319">
        <v>1210704</v>
      </c>
      <c r="D319">
        <v>53.370815</v>
      </c>
    </row>
    <row r="320" spans="2:4" x14ac:dyDescent="0.3">
      <c r="B320">
        <v>54.221359</v>
      </c>
      <c r="C320">
        <v>1347764</v>
      </c>
      <c r="D320">
        <v>53.158217999999998</v>
      </c>
    </row>
    <row r="321" spans="2:4" x14ac:dyDescent="0.3">
      <c r="B321">
        <v>53.094433000000002</v>
      </c>
      <c r="C321">
        <v>1048395</v>
      </c>
      <c r="D321">
        <v>52.775458999999998</v>
      </c>
    </row>
    <row r="322" spans="2:4" x14ac:dyDescent="0.3">
      <c r="B322">
        <v>53.115726000000002</v>
      </c>
      <c r="C322">
        <v>985876</v>
      </c>
      <c r="D322">
        <v>51.924903999999998</v>
      </c>
    </row>
    <row r="323" spans="2:4" x14ac:dyDescent="0.3">
      <c r="B323">
        <v>51.244534000000002</v>
      </c>
      <c r="C323">
        <v>1591829</v>
      </c>
      <c r="D323">
        <v>51.329540000000001</v>
      </c>
    </row>
    <row r="324" spans="2:4" x14ac:dyDescent="0.3">
      <c r="B324">
        <v>51.244534000000002</v>
      </c>
      <c r="C324">
        <v>825971</v>
      </c>
      <c r="D324">
        <v>50.861773999999997</v>
      </c>
    </row>
    <row r="325" spans="2:4" x14ac:dyDescent="0.3">
      <c r="B325">
        <v>50.819271000000001</v>
      </c>
      <c r="C325">
        <v>1088070</v>
      </c>
      <c r="D325">
        <v>51.053158000000003</v>
      </c>
    </row>
    <row r="326" spans="2:4" x14ac:dyDescent="0.3">
      <c r="B326">
        <v>51.201957999999998</v>
      </c>
      <c r="C326">
        <v>1258795</v>
      </c>
      <c r="D326">
        <v>50.989364999999999</v>
      </c>
    </row>
    <row r="327" spans="2:4" x14ac:dyDescent="0.3">
      <c r="B327">
        <v>51.457129999999999</v>
      </c>
      <c r="C327">
        <v>1938088</v>
      </c>
      <c r="D327">
        <v>52.158797999999997</v>
      </c>
    </row>
    <row r="328" spans="2:4" x14ac:dyDescent="0.3">
      <c r="B328">
        <v>52.647869</v>
      </c>
      <c r="C328">
        <v>1813050</v>
      </c>
      <c r="D328">
        <v>53.796084999999998</v>
      </c>
    </row>
    <row r="329" spans="2:4" x14ac:dyDescent="0.3">
      <c r="B329">
        <v>53.923682999999997</v>
      </c>
      <c r="C329">
        <v>1434329</v>
      </c>
      <c r="D329">
        <v>54.434035999999999</v>
      </c>
    </row>
    <row r="330" spans="2:4" x14ac:dyDescent="0.3">
      <c r="B330">
        <v>54.646633000000001</v>
      </c>
      <c r="C330">
        <v>1151791</v>
      </c>
      <c r="D330">
        <v>55.114407</v>
      </c>
    </row>
    <row r="331" spans="2:4" x14ac:dyDescent="0.3">
      <c r="B331">
        <v>55.178210999999997</v>
      </c>
      <c r="C331">
        <v>1905626</v>
      </c>
      <c r="D331">
        <v>56.262633999999998</v>
      </c>
    </row>
    <row r="332" spans="2:4" x14ac:dyDescent="0.3">
      <c r="B332">
        <v>56.751708999999998</v>
      </c>
      <c r="C332">
        <v>2494747</v>
      </c>
      <c r="D332">
        <v>55.645977000000002</v>
      </c>
    </row>
    <row r="333" spans="2:4" x14ac:dyDescent="0.3">
      <c r="B333">
        <v>55.327083999999999</v>
      </c>
      <c r="C333">
        <v>1581008</v>
      </c>
      <c r="D333">
        <v>55.263289999999998</v>
      </c>
    </row>
    <row r="334" spans="2:4" x14ac:dyDescent="0.3">
      <c r="B334">
        <v>55.709781999999997</v>
      </c>
      <c r="C334">
        <v>854826</v>
      </c>
      <c r="D334">
        <v>55.412098</v>
      </c>
    </row>
    <row r="335" spans="2:4" x14ac:dyDescent="0.3">
      <c r="B335">
        <v>55.964958000000003</v>
      </c>
      <c r="C335">
        <v>1632707</v>
      </c>
      <c r="D335">
        <v>54.731720000000003</v>
      </c>
    </row>
    <row r="336" spans="2:4" x14ac:dyDescent="0.3">
      <c r="B336">
        <v>54.81673</v>
      </c>
      <c r="C336">
        <v>1118127</v>
      </c>
      <c r="D336">
        <v>54.859318000000002</v>
      </c>
    </row>
    <row r="337" spans="2:4" x14ac:dyDescent="0.3">
      <c r="B337">
        <v>55.071911</v>
      </c>
      <c r="C337">
        <v>1689214</v>
      </c>
      <c r="D337">
        <v>55.093204</v>
      </c>
    </row>
    <row r="338" spans="2:4" x14ac:dyDescent="0.3">
      <c r="B338">
        <v>55.156993999999997</v>
      </c>
      <c r="C338">
        <v>1266009</v>
      </c>
      <c r="D338">
        <v>55.156993999999997</v>
      </c>
    </row>
    <row r="339" spans="2:4" x14ac:dyDescent="0.3">
      <c r="B339">
        <v>55.518470999999998</v>
      </c>
      <c r="C339">
        <v>1000303</v>
      </c>
      <c r="D339">
        <v>55.029411000000003</v>
      </c>
    </row>
    <row r="340" spans="2:4" x14ac:dyDescent="0.3">
      <c r="B340">
        <v>54.986823999999999</v>
      </c>
      <c r="C340">
        <v>627594</v>
      </c>
      <c r="D340">
        <v>55.709781999999997</v>
      </c>
    </row>
    <row r="341" spans="2:4" x14ac:dyDescent="0.3">
      <c r="B341">
        <v>55.901156999999998</v>
      </c>
      <c r="C341">
        <v>3485432</v>
      </c>
      <c r="D341">
        <v>57.559753000000001</v>
      </c>
    </row>
    <row r="342" spans="2:4" x14ac:dyDescent="0.3">
      <c r="B342">
        <v>57.580952000000003</v>
      </c>
      <c r="C342">
        <v>2792915</v>
      </c>
      <c r="D342">
        <v>57.623539000000001</v>
      </c>
    </row>
    <row r="343" spans="2:4" x14ac:dyDescent="0.3">
      <c r="B343">
        <v>57.836136000000003</v>
      </c>
      <c r="C343">
        <v>1269616</v>
      </c>
      <c r="D343">
        <v>56.900500999999998</v>
      </c>
    </row>
    <row r="344" spans="2:4" x14ac:dyDescent="0.3">
      <c r="B344">
        <v>56.815505999999999</v>
      </c>
      <c r="C344">
        <v>822364</v>
      </c>
      <c r="D344">
        <v>57.091892000000001</v>
      </c>
    </row>
    <row r="345" spans="2:4" x14ac:dyDescent="0.3">
      <c r="B345">
        <v>57.623539000000001</v>
      </c>
      <c r="C345">
        <v>1731294</v>
      </c>
      <c r="D345">
        <v>57.708553000000002</v>
      </c>
    </row>
    <row r="346" spans="2:4" x14ac:dyDescent="0.3">
      <c r="B346">
        <v>57.580952000000003</v>
      </c>
      <c r="C346">
        <v>1286448</v>
      </c>
      <c r="D346">
        <v>58.027526999999999</v>
      </c>
    </row>
    <row r="347" spans="2:4" x14ac:dyDescent="0.3">
      <c r="B347">
        <v>58.176327000000001</v>
      </c>
      <c r="C347">
        <v>2227839</v>
      </c>
      <c r="D347">
        <v>59.239547999999999</v>
      </c>
    </row>
    <row r="348" spans="2:4" x14ac:dyDescent="0.3">
      <c r="B348">
        <v>59.537230999999998</v>
      </c>
      <c r="C348">
        <v>3015338</v>
      </c>
      <c r="D348">
        <v>61.280822999999998</v>
      </c>
    </row>
    <row r="349" spans="2:4" x14ac:dyDescent="0.3">
      <c r="B349">
        <v>62.173870000000001</v>
      </c>
      <c r="C349">
        <v>3214918</v>
      </c>
      <c r="D349">
        <v>62.875526000000001</v>
      </c>
    </row>
    <row r="350" spans="2:4" x14ac:dyDescent="0.3">
      <c r="B350">
        <v>63.109420999999998</v>
      </c>
      <c r="C350">
        <v>2451465</v>
      </c>
      <c r="D350">
        <v>63.768574000000001</v>
      </c>
    </row>
    <row r="351" spans="2:4" x14ac:dyDescent="0.3">
      <c r="B351">
        <v>63.704777</v>
      </c>
      <c r="C351">
        <v>3307494</v>
      </c>
      <c r="D351">
        <v>64.767914000000005</v>
      </c>
    </row>
    <row r="352" spans="2:4" x14ac:dyDescent="0.3">
      <c r="B352">
        <v>64.980598000000001</v>
      </c>
      <c r="C352">
        <v>3902626</v>
      </c>
      <c r="D352">
        <v>65.575965999999994</v>
      </c>
    </row>
    <row r="353" spans="2:4" x14ac:dyDescent="0.3">
      <c r="B353">
        <v>65.065680999999998</v>
      </c>
      <c r="C353">
        <v>3974764</v>
      </c>
      <c r="D353">
        <v>66.043739000000002</v>
      </c>
    </row>
    <row r="354" spans="2:4" x14ac:dyDescent="0.3">
      <c r="B354">
        <v>66.554091999999997</v>
      </c>
      <c r="C354">
        <v>4531423</v>
      </c>
      <c r="D354">
        <v>67.829918000000006</v>
      </c>
    </row>
    <row r="355" spans="2:4" x14ac:dyDescent="0.3">
      <c r="B355">
        <v>68.063796999999994</v>
      </c>
      <c r="C355">
        <v>3490242</v>
      </c>
      <c r="D355">
        <v>70.466560000000001</v>
      </c>
    </row>
    <row r="356" spans="2:4" x14ac:dyDescent="0.3">
      <c r="B356">
        <v>70.381461999999999</v>
      </c>
      <c r="C356">
        <v>2263908</v>
      </c>
      <c r="D356">
        <v>69.722313</v>
      </c>
    </row>
    <row r="357" spans="2:4" x14ac:dyDescent="0.3">
      <c r="B357">
        <v>73.358367999999999</v>
      </c>
      <c r="C357">
        <v>5023159</v>
      </c>
      <c r="D357">
        <v>69.743599000000003</v>
      </c>
    </row>
    <row r="358" spans="2:4" x14ac:dyDescent="0.3">
      <c r="B358">
        <v>70.168869000000001</v>
      </c>
      <c r="C358">
        <v>2506770</v>
      </c>
      <c r="D358">
        <v>69.212029000000001</v>
      </c>
    </row>
    <row r="359" spans="2:4" x14ac:dyDescent="0.3">
      <c r="B359">
        <v>69.658516000000006</v>
      </c>
      <c r="C359">
        <v>1627897</v>
      </c>
      <c r="D359">
        <v>68.467788999999996</v>
      </c>
    </row>
    <row r="360" spans="2:4" x14ac:dyDescent="0.3">
      <c r="B360">
        <v>68.680381999999994</v>
      </c>
      <c r="C360">
        <v>1339348</v>
      </c>
      <c r="D360">
        <v>69.063141000000002</v>
      </c>
    </row>
    <row r="361" spans="2:4" x14ac:dyDescent="0.3">
      <c r="B361">
        <v>70.934334000000007</v>
      </c>
      <c r="C361">
        <v>1719271</v>
      </c>
      <c r="D361">
        <v>71.061913000000004</v>
      </c>
    </row>
    <row r="362" spans="2:4" x14ac:dyDescent="0.3">
      <c r="B362">
        <v>71.125716999999995</v>
      </c>
      <c r="C362">
        <v>1712058</v>
      </c>
      <c r="D362">
        <v>70.551567000000006</v>
      </c>
    </row>
    <row r="363" spans="2:4" x14ac:dyDescent="0.3">
      <c r="B363">
        <v>70.998123000000007</v>
      </c>
      <c r="C363">
        <v>1044788</v>
      </c>
      <c r="D363">
        <v>70.551567000000006</v>
      </c>
    </row>
    <row r="364" spans="2:4" x14ac:dyDescent="0.3">
      <c r="B364">
        <v>71.061913000000004</v>
      </c>
      <c r="C364">
        <v>1952515</v>
      </c>
      <c r="D364">
        <v>72.188857999999996</v>
      </c>
    </row>
    <row r="365" spans="2:4" x14ac:dyDescent="0.3">
      <c r="B365">
        <v>73.145698999999993</v>
      </c>
      <c r="C365">
        <v>1789004</v>
      </c>
      <c r="D365">
        <v>73.145698999999993</v>
      </c>
    </row>
    <row r="366" spans="2:4" x14ac:dyDescent="0.3">
      <c r="B366">
        <v>72.614136000000002</v>
      </c>
      <c r="C366">
        <v>1976561</v>
      </c>
      <c r="D366">
        <v>73.783562000000003</v>
      </c>
    </row>
    <row r="367" spans="2:4" x14ac:dyDescent="0.3">
      <c r="B367">
        <v>74.208832000000001</v>
      </c>
      <c r="C367">
        <v>2285549</v>
      </c>
      <c r="D367">
        <v>74.038749999999993</v>
      </c>
    </row>
    <row r="368" spans="2:4" x14ac:dyDescent="0.3">
      <c r="B368">
        <v>73.953734999999995</v>
      </c>
      <c r="C368">
        <v>2083565</v>
      </c>
      <c r="D368">
        <v>72.444038000000006</v>
      </c>
    </row>
    <row r="369" spans="2:4" x14ac:dyDescent="0.3">
      <c r="B369">
        <v>72.507835</v>
      </c>
      <c r="C369">
        <v>1900817</v>
      </c>
      <c r="D369">
        <v>72.635329999999996</v>
      </c>
    </row>
    <row r="370" spans="2:4" x14ac:dyDescent="0.3">
      <c r="B370">
        <v>73.039406</v>
      </c>
      <c r="C370">
        <v>983471</v>
      </c>
      <c r="D370">
        <v>72.337661999999995</v>
      </c>
    </row>
    <row r="371" spans="2:4" x14ac:dyDescent="0.3">
      <c r="B371">
        <v>72.890511000000004</v>
      </c>
      <c r="C371">
        <v>1601447</v>
      </c>
      <c r="D371">
        <v>72.401450999999994</v>
      </c>
    </row>
    <row r="372" spans="2:4" x14ac:dyDescent="0.3">
      <c r="B372">
        <v>72.295158000000001</v>
      </c>
      <c r="C372">
        <v>1460779</v>
      </c>
      <c r="D372">
        <v>72.805519000000004</v>
      </c>
    </row>
    <row r="373" spans="2:4" x14ac:dyDescent="0.3">
      <c r="B373">
        <v>72.720427999999998</v>
      </c>
      <c r="C373">
        <v>2834995</v>
      </c>
      <c r="D373">
        <v>74.081253000000004</v>
      </c>
    </row>
    <row r="374" spans="2:4" x14ac:dyDescent="0.3">
      <c r="B374">
        <v>74.676604999999995</v>
      </c>
      <c r="C374">
        <v>3543142</v>
      </c>
      <c r="D374">
        <v>77.759818999999993</v>
      </c>
    </row>
    <row r="375" spans="2:4" x14ac:dyDescent="0.3">
      <c r="B375">
        <v>77.993697999999995</v>
      </c>
      <c r="C375">
        <v>3182456</v>
      </c>
      <c r="D375">
        <v>81.098206000000005</v>
      </c>
    </row>
    <row r="376" spans="2:4" x14ac:dyDescent="0.3">
      <c r="B376">
        <v>81.013114999999999</v>
      </c>
      <c r="C376">
        <v>2397362</v>
      </c>
      <c r="D376">
        <v>80.120070999999996</v>
      </c>
    </row>
    <row r="377" spans="2:4" x14ac:dyDescent="0.3">
      <c r="B377">
        <v>80.757926999999995</v>
      </c>
      <c r="C377">
        <v>2660663</v>
      </c>
      <c r="D377">
        <v>78.567856000000006</v>
      </c>
    </row>
    <row r="378" spans="2:4" x14ac:dyDescent="0.3">
      <c r="B378">
        <v>78.248878000000005</v>
      </c>
      <c r="C378">
        <v>3041788</v>
      </c>
      <c r="D378">
        <v>80.609131000000005</v>
      </c>
    </row>
    <row r="379" spans="2:4" x14ac:dyDescent="0.3">
      <c r="B379">
        <v>80.609131000000005</v>
      </c>
      <c r="C379">
        <v>0</v>
      </c>
      <c r="D379">
        <v>80.609131000000005</v>
      </c>
    </row>
    <row r="380" spans="2:4" x14ac:dyDescent="0.3">
      <c r="B380">
        <v>80.609131000000005</v>
      </c>
      <c r="C380">
        <v>0</v>
      </c>
      <c r="D380">
        <v>80.609131000000005</v>
      </c>
    </row>
    <row r="381" spans="2:4" x14ac:dyDescent="0.3">
      <c r="B381">
        <v>81.523476000000002</v>
      </c>
      <c r="C381">
        <v>3332742</v>
      </c>
      <c r="D381">
        <v>82.926795999999996</v>
      </c>
    </row>
    <row r="382" spans="2:4" x14ac:dyDescent="0.3">
      <c r="B382">
        <v>83.522414999999995</v>
      </c>
      <c r="C382">
        <v>1974156</v>
      </c>
      <c r="D382">
        <v>81.395882</v>
      </c>
    </row>
    <row r="383" spans="2:4" x14ac:dyDescent="0.3">
      <c r="B383">
        <v>81.650986000000003</v>
      </c>
      <c r="C383">
        <v>2043889</v>
      </c>
      <c r="D383">
        <v>80.800522000000001</v>
      </c>
    </row>
    <row r="384" spans="2:4" x14ac:dyDescent="0.3">
      <c r="B384">
        <v>80.587845000000002</v>
      </c>
      <c r="C384">
        <v>1992191</v>
      </c>
      <c r="D384">
        <v>79.992476999999994</v>
      </c>
    </row>
    <row r="385" spans="2:4" x14ac:dyDescent="0.3">
      <c r="B385">
        <v>80.970618999999999</v>
      </c>
      <c r="C385">
        <v>1673584</v>
      </c>
      <c r="D385">
        <v>79.439621000000002</v>
      </c>
    </row>
    <row r="386" spans="2:4" x14ac:dyDescent="0.3">
      <c r="B386">
        <v>79.631004000000004</v>
      </c>
      <c r="C386">
        <v>2233851</v>
      </c>
      <c r="D386">
        <v>78.248878000000005</v>
      </c>
    </row>
    <row r="387" spans="2:4" x14ac:dyDescent="0.3">
      <c r="B387">
        <v>77.823607999999993</v>
      </c>
      <c r="C387">
        <v>1443947</v>
      </c>
      <c r="D387">
        <v>77.270752000000002</v>
      </c>
    </row>
    <row r="388" spans="2:4" x14ac:dyDescent="0.3">
      <c r="B388">
        <v>77.313338999999999</v>
      </c>
      <c r="C388">
        <v>2526007</v>
      </c>
      <c r="D388">
        <v>76.973067999999998</v>
      </c>
    </row>
    <row r="389" spans="2:4" x14ac:dyDescent="0.3">
      <c r="B389">
        <v>76.547798</v>
      </c>
      <c r="C389">
        <v>1964538</v>
      </c>
      <c r="D389">
        <v>76.824264999999997</v>
      </c>
    </row>
    <row r="390" spans="2:4" x14ac:dyDescent="0.3">
      <c r="B390">
        <v>76.143805999999998</v>
      </c>
      <c r="C390">
        <v>2150893</v>
      </c>
      <c r="D390">
        <v>74.740402000000003</v>
      </c>
    </row>
    <row r="391" spans="2:4" x14ac:dyDescent="0.3">
      <c r="B391">
        <v>75.272064</v>
      </c>
      <c r="C391">
        <v>2096790</v>
      </c>
      <c r="D391">
        <v>75.229477000000003</v>
      </c>
    </row>
    <row r="392" spans="2:4" x14ac:dyDescent="0.3">
      <c r="B392">
        <v>75.272064</v>
      </c>
      <c r="C392">
        <v>1787802</v>
      </c>
      <c r="D392">
        <v>74.889281999999994</v>
      </c>
    </row>
    <row r="393" spans="2:4" x14ac:dyDescent="0.3">
      <c r="B393">
        <v>75.272064</v>
      </c>
      <c r="C393">
        <v>1754138</v>
      </c>
      <c r="D393">
        <v>75.633529999999993</v>
      </c>
    </row>
    <row r="394" spans="2:4" x14ac:dyDescent="0.3">
      <c r="B394">
        <v>75.633529999999993</v>
      </c>
      <c r="C394">
        <v>0</v>
      </c>
      <c r="D394">
        <v>75.633529999999993</v>
      </c>
    </row>
    <row r="395" spans="2:4" x14ac:dyDescent="0.3">
      <c r="B395">
        <v>76.292702000000006</v>
      </c>
      <c r="C395">
        <v>2625796</v>
      </c>
      <c r="D395">
        <v>77.568427999999997</v>
      </c>
    </row>
    <row r="396" spans="2:4" x14ac:dyDescent="0.3">
      <c r="B396">
        <v>77.759818999999993</v>
      </c>
      <c r="C396">
        <v>2313202</v>
      </c>
      <c r="D396">
        <v>75.888641000000007</v>
      </c>
    </row>
    <row r="397" spans="2:4" x14ac:dyDescent="0.3">
      <c r="B397">
        <v>79.524704</v>
      </c>
      <c r="C397">
        <v>10640248</v>
      </c>
      <c r="D397">
        <v>82.246337999999994</v>
      </c>
    </row>
    <row r="398" spans="2:4" x14ac:dyDescent="0.3">
      <c r="B398">
        <v>84.202788999999996</v>
      </c>
      <c r="C398">
        <v>12413623</v>
      </c>
      <c r="D398">
        <v>85.052834000000004</v>
      </c>
    </row>
    <row r="399" spans="2:4" x14ac:dyDescent="0.3">
      <c r="B399">
        <v>83.139481000000004</v>
      </c>
      <c r="C399">
        <v>10000631</v>
      </c>
      <c r="D399">
        <v>83.862601999999995</v>
      </c>
    </row>
    <row r="400" spans="2:4" x14ac:dyDescent="0.3">
      <c r="B400">
        <v>85.521102999999997</v>
      </c>
      <c r="C400">
        <v>5472814</v>
      </c>
      <c r="D400">
        <v>84.840736000000007</v>
      </c>
    </row>
    <row r="401" spans="2:4" x14ac:dyDescent="0.3">
      <c r="B401">
        <v>84.202788999999996</v>
      </c>
      <c r="C401">
        <v>4264515</v>
      </c>
      <c r="D401">
        <v>82.586617000000004</v>
      </c>
    </row>
    <row r="402" spans="2:4" x14ac:dyDescent="0.3">
      <c r="B402">
        <v>81.948668999999995</v>
      </c>
      <c r="C402">
        <v>6120848</v>
      </c>
      <c r="D402">
        <v>80.800522000000001</v>
      </c>
    </row>
    <row r="403" spans="2:4" x14ac:dyDescent="0.3">
      <c r="B403">
        <v>82.501518000000004</v>
      </c>
      <c r="C403">
        <v>5231155</v>
      </c>
      <c r="D403">
        <v>81.969954999999999</v>
      </c>
    </row>
    <row r="404" spans="2:4" x14ac:dyDescent="0.3">
      <c r="B404">
        <v>81.991257000000004</v>
      </c>
      <c r="C404">
        <v>3409688</v>
      </c>
      <c r="D404">
        <v>81.438384999999997</v>
      </c>
    </row>
    <row r="405" spans="2:4" x14ac:dyDescent="0.3">
      <c r="B405">
        <v>81.650986000000003</v>
      </c>
      <c r="C405">
        <v>3487837</v>
      </c>
      <c r="D405">
        <v>79.864883000000006</v>
      </c>
    </row>
    <row r="406" spans="2:4" x14ac:dyDescent="0.3">
      <c r="B406">
        <v>80.077560000000005</v>
      </c>
      <c r="C406">
        <v>4572301</v>
      </c>
      <c r="D406">
        <v>81.650986000000003</v>
      </c>
    </row>
    <row r="407" spans="2:4" x14ac:dyDescent="0.3">
      <c r="B407">
        <v>81.650986000000003</v>
      </c>
      <c r="C407">
        <v>5980180</v>
      </c>
      <c r="D407">
        <v>82.586617000000004</v>
      </c>
    </row>
    <row r="408" spans="2:4" x14ac:dyDescent="0.3">
      <c r="B408">
        <v>82.586617000000004</v>
      </c>
      <c r="C408">
        <v>0</v>
      </c>
      <c r="D408">
        <v>82.586617000000004</v>
      </c>
    </row>
    <row r="409" spans="2:4" x14ac:dyDescent="0.3">
      <c r="B409">
        <v>82.714195000000004</v>
      </c>
      <c r="C409">
        <v>4737014</v>
      </c>
      <c r="D409">
        <v>81.821151999999998</v>
      </c>
    </row>
    <row r="410" spans="2:4" x14ac:dyDescent="0.3">
      <c r="B410">
        <v>82.076248000000007</v>
      </c>
      <c r="C410">
        <v>4194782</v>
      </c>
      <c r="D410">
        <v>84.03228</v>
      </c>
    </row>
    <row r="411" spans="2:4" x14ac:dyDescent="0.3">
      <c r="B411">
        <v>84.627808000000002</v>
      </c>
      <c r="C411">
        <v>7348384</v>
      </c>
      <c r="D411">
        <v>84.414878999999999</v>
      </c>
    </row>
    <row r="412" spans="2:4" x14ac:dyDescent="0.3">
      <c r="B412">
        <v>83.351906</v>
      </c>
      <c r="C412">
        <v>8549469</v>
      </c>
      <c r="D412">
        <v>82.926795999999996</v>
      </c>
    </row>
    <row r="413" spans="2:4" x14ac:dyDescent="0.3">
      <c r="B413">
        <v>74.421509</v>
      </c>
      <c r="C413">
        <v>17710904</v>
      </c>
      <c r="D413">
        <v>75.442154000000002</v>
      </c>
    </row>
    <row r="414" spans="2:4" x14ac:dyDescent="0.3">
      <c r="B414">
        <v>76.207603000000006</v>
      </c>
      <c r="C414">
        <v>6063138</v>
      </c>
      <c r="D414">
        <v>75.633529999999993</v>
      </c>
    </row>
    <row r="415" spans="2:4" x14ac:dyDescent="0.3">
      <c r="B415">
        <v>75.633529999999993</v>
      </c>
      <c r="C415">
        <v>0</v>
      </c>
      <c r="D415">
        <v>75.633529999999993</v>
      </c>
    </row>
    <row r="416" spans="2:4" x14ac:dyDescent="0.3">
      <c r="B416">
        <v>75.186974000000006</v>
      </c>
      <c r="C416">
        <v>2473106</v>
      </c>
      <c r="D416">
        <v>75.059380000000004</v>
      </c>
    </row>
    <row r="417" spans="2:4" x14ac:dyDescent="0.3">
      <c r="B417">
        <v>75.272064</v>
      </c>
      <c r="C417">
        <v>3921863</v>
      </c>
      <c r="D417">
        <v>75.846137999999996</v>
      </c>
    </row>
    <row r="418" spans="2:4" x14ac:dyDescent="0.3">
      <c r="B418">
        <v>75.590958000000001</v>
      </c>
      <c r="C418">
        <v>2512781</v>
      </c>
      <c r="D418">
        <v>74.910583000000003</v>
      </c>
    </row>
    <row r="419" spans="2:4" x14ac:dyDescent="0.3">
      <c r="B419">
        <v>75.697333999999998</v>
      </c>
      <c r="C419">
        <v>3100700</v>
      </c>
      <c r="D419">
        <v>76.760475</v>
      </c>
    </row>
    <row r="420" spans="2:4" x14ac:dyDescent="0.3">
      <c r="B420">
        <v>77.738608999999997</v>
      </c>
      <c r="C420">
        <v>2960634</v>
      </c>
      <c r="D420">
        <v>77.440926000000005</v>
      </c>
    </row>
    <row r="421" spans="2:4" x14ac:dyDescent="0.3">
      <c r="B421">
        <v>77.823607999999993</v>
      </c>
      <c r="C421">
        <v>2682905</v>
      </c>
      <c r="D421">
        <v>76.590384999999998</v>
      </c>
    </row>
    <row r="422" spans="2:4" x14ac:dyDescent="0.3">
      <c r="B422">
        <v>76.505295000000004</v>
      </c>
      <c r="C422">
        <v>2518793</v>
      </c>
      <c r="D422">
        <v>77.079453000000001</v>
      </c>
    </row>
    <row r="423" spans="2:4" x14ac:dyDescent="0.3">
      <c r="B423">
        <v>77.079453000000001</v>
      </c>
      <c r="C423">
        <v>0</v>
      </c>
      <c r="D423">
        <v>77.079453000000001</v>
      </c>
    </row>
    <row r="424" spans="2:4" x14ac:dyDescent="0.3">
      <c r="B424">
        <v>74.931792999999999</v>
      </c>
      <c r="C424">
        <v>3241969</v>
      </c>
      <c r="D424">
        <v>73.507178999999994</v>
      </c>
    </row>
    <row r="425" spans="2:4" x14ac:dyDescent="0.3">
      <c r="B425">
        <v>73.996239000000003</v>
      </c>
      <c r="C425">
        <v>2200788</v>
      </c>
      <c r="D425">
        <v>72.358954999999995</v>
      </c>
    </row>
    <row r="426" spans="2:4" x14ac:dyDescent="0.3">
      <c r="B426">
        <v>71.444610999999995</v>
      </c>
      <c r="C426">
        <v>3887598</v>
      </c>
      <c r="D426">
        <v>71.444610999999995</v>
      </c>
    </row>
    <row r="427" spans="2:4" x14ac:dyDescent="0.3">
      <c r="B427">
        <v>72.231361000000007</v>
      </c>
      <c r="C427">
        <v>3079059</v>
      </c>
      <c r="D427">
        <v>72.848006999999996</v>
      </c>
    </row>
    <row r="428" spans="2:4" x14ac:dyDescent="0.3">
      <c r="B428">
        <v>73.337090000000003</v>
      </c>
      <c r="C428">
        <v>3428324</v>
      </c>
      <c r="D428">
        <v>71.274512999999999</v>
      </c>
    </row>
    <row r="429" spans="2:4" x14ac:dyDescent="0.3">
      <c r="B429">
        <v>71.614784</v>
      </c>
      <c r="C429">
        <v>3707255</v>
      </c>
      <c r="D429">
        <v>70.296386999999996</v>
      </c>
    </row>
    <row r="430" spans="2:4" x14ac:dyDescent="0.3">
      <c r="B430">
        <v>70.147582999999997</v>
      </c>
      <c r="C430">
        <v>2637819</v>
      </c>
      <c r="D430">
        <v>70.062492000000006</v>
      </c>
    </row>
    <row r="431" spans="2:4" x14ac:dyDescent="0.3">
      <c r="B431">
        <v>70.381461999999999</v>
      </c>
      <c r="C431">
        <v>5981382</v>
      </c>
      <c r="D431">
        <v>70.636641999999995</v>
      </c>
    </row>
    <row r="432" spans="2:4" x14ac:dyDescent="0.3">
      <c r="B432">
        <v>71.444610999999995</v>
      </c>
      <c r="C432">
        <v>4821776</v>
      </c>
      <c r="D432">
        <v>72.954307999999997</v>
      </c>
    </row>
    <row r="433" spans="2:4" x14ac:dyDescent="0.3">
      <c r="B433">
        <v>74.038749999999993</v>
      </c>
      <c r="C433">
        <v>4771881</v>
      </c>
      <c r="D433">
        <v>75.357062999999997</v>
      </c>
    </row>
    <row r="434" spans="2:4" x14ac:dyDescent="0.3">
      <c r="B434">
        <v>74.974379999999996</v>
      </c>
      <c r="C434">
        <v>2590329</v>
      </c>
      <c r="D434">
        <v>74.846785999999994</v>
      </c>
    </row>
    <row r="435" spans="2:4" x14ac:dyDescent="0.3">
      <c r="B435">
        <v>75.654754999999994</v>
      </c>
      <c r="C435">
        <v>2450864</v>
      </c>
      <c r="D435">
        <v>75.718543999999994</v>
      </c>
    </row>
    <row r="436" spans="2:4" x14ac:dyDescent="0.3">
      <c r="B436">
        <v>76.122528000000003</v>
      </c>
      <c r="C436">
        <v>2263908</v>
      </c>
      <c r="D436">
        <v>74.634101999999999</v>
      </c>
    </row>
    <row r="437" spans="2:4" x14ac:dyDescent="0.3">
      <c r="B437">
        <v>75.059380000000004</v>
      </c>
      <c r="C437">
        <v>2167124</v>
      </c>
      <c r="D437">
        <v>75.378365000000002</v>
      </c>
    </row>
    <row r="438" spans="2:4" x14ac:dyDescent="0.3">
      <c r="B438">
        <v>76.207603000000006</v>
      </c>
      <c r="C438">
        <v>3072446</v>
      </c>
      <c r="D438">
        <v>75.952431000000004</v>
      </c>
    </row>
    <row r="439" spans="2:4" x14ac:dyDescent="0.3">
      <c r="B439">
        <v>76.250107</v>
      </c>
      <c r="C439">
        <v>1585216</v>
      </c>
      <c r="D439">
        <v>77.802406000000005</v>
      </c>
    </row>
    <row r="440" spans="2:4" x14ac:dyDescent="0.3">
      <c r="B440">
        <v>77.802406000000005</v>
      </c>
      <c r="C440">
        <v>1746323</v>
      </c>
      <c r="D440">
        <v>76.802978999999993</v>
      </c>
    </row>
    <row r="441" spans="2:4" x14ac:dyDescent="0.3">
      <c r="B441">
        <v>77.292038000000005</v>
      </c>
      <c r="C441">
        <v>1853928</v>
      </c>
      <c r="D441">
        <v>76.802978999999993</v>
      </c>
    </row>
    <row r="442" spans="2:4" x14ac:dyDescent="0.3">
      <c r="B442">
        <v>76.845482000000004</v>
      </c>
      <c r="C442">
        <v>2019242</v>
      </c>
      <c r="D442">
        <v>77.398337999999995</v>
      </c>
    </row>
    <row r="443" spans="2:4" x14ac:dyDescent="0.3">
      <c r="B443">
        <v>78.248878000000005</v>
      </c>
      <c r="C443">
        <v>1928469</v>
      </c>
      <c r="D443">
        <v>77.823607999999993</v>
      </c>
    </row>
    <row r="444" spans="2:4" x14ac:dyDescent="0.3">
      <c r="B444">
        <v>77.483429000000001</v>
      </c>
      <c r="C444">
        <v>1871361</v>
      </c>
      <c r="D444">
        <v>75.867431999999994</v>
      </c>
    </row>
    <row r="445" spans="2:4" x14ac:dyDescent="0.3">
      <c r="B445">
        <v>75.144463000000002</v>
      </c>
      <c r="C445">
        <v>2848220</v>
      </c>
      <c r="D445">
        <v>74.506523000000001</v>
      </c>
    </row>
    <row r="446" spans="2:4" x14ac:dyDescent="0.3">
      <c r="B446">
        <v>74.336433</v>
      </c>
      <c r="C446">
        <v>2994899</v>
      </c>
      <c r="D446">
        <v>74.931792999999999</v>
      </c>
    </row>
    <row r="447" spans="2:4" x14ac:dyDescent="0.3">
      <c r="B447">
        <v>76.016227999999998</v>
      </c>
      <c r="C447">
        <v>4317416</v>
      </c>
      <c r="D447">
        <v>74.421509</v>
      </c>
    </row>
    <row r="448" spans="2:4" x14ac:dyDescent="0.3">
      <c r="B448">
        <v>74.506523000000001</v>
      </c>
      <c r="C448">
        <v>3002714</v>
      </c>
      <c r="D448">
        <v>73.953734999999995</v>
      </c>
    </row>
    <row r="449" spans="2:4" x14ac:dyDescent="0.3">
      <c r="B449">
        <v>74.293930000000003</v>
      </c>
      <c r="C449">
        <v>2850624</v>
      </c>
      <c r="D449">
        <v>74.123840000000001</v>
      </c>
    </row>
    <row r="450" spans="2:4" x14ac:dyDescent="0.3">
      <c r="B450">
        <v>73.826156999999995</v>
      </c>
      <c r="C450">
        <v>2869260</v>
      </c>
      <c r="D450">
        <v>72.933104999999998</v>
      </c>
    </row>
    <row r="451" spans="2:4" x14ac:dyDescent="0.3">
      <c r="B451">
        <v>73.251998999999998</v>
      </c>
      <c r="C451">
        <v>3669382</v>
      </c>
      <c r="D451">
        <v>73.251998999999998</v>
      </c>
    </row>
    <row r="452" spans="2:4" x14ac:dyDescent="0.3">
      <c r="B452">
        <v>73.400879000000003</v>
      </c>
      <c r="C452">
        <v>5334551</v>
      </c>
      <c r="D452">
        <v>74.953079000000002</v>
      </c>
    </row>
    <row r="453" spans="2:4" x14ac:dyDescent="0.3">
      <c r="B453">
        <v>76.547798</v>
      </c>
      <c r="C453">
        <v>6611982</v>
      </c>
      <c r="D453">
        <v>77.781104999999997</v>
      </c>
    </row>
    <row r="454" spans="2:4" x14ac:dyDescent="0.3">
      <c r="B454">
        <v>77.270752000000002</v>
      </c>
      <c r="C454">
        <v>5855743</v>
      </c>
      <c r="D454">
        <v>78.376480000000001</v>
      </c>
    </row>
    <row r="455" spans="2:4" x14ac:dyDescent="0.3">
      <c r="B455">
        <v>79.099434000000002</v>
      </c>
      <c r="C455">
        <v>3398267</v>
      </c>
      <c r="D455">
        <v>76.760475</v>
      </c>
    </row>
    <row r="456" spans="2:4" x14ac:dyDescent="0.3">
      <c r="B456">
        <v>78.036285000000007</v>
      </c>
      <c r="C456">
        <v>2777886</v>
      </c>
      <c r="D456">
        <v>77.270752000000002</v>
      </c>
    </row>
    <row r="457" spans="2:4" x14ac:dyDescent="0.3">
      <c r="B457">
        <v>76.973067999999998</v>
      </c>
      <c r="C457">
        <v>3921863</v>
      </c>
      <c r="D457">
        <v>78.291381999999999</v>
      </c>
    </row>
    <row r="458" spans="2:4" x14ac:dyDescent="0.3">
      <c r="B458">
        <v>78.631659999999997</v>
      </c>
      <c r="C458">
        <v>5211918</v>
      </c>
      <c r="D458">
        <v>78.376480000000001</v>
      </c>
    </row>
    <row r="459" spans="2:4" x14ac:dyDescent="0.3">
      <c r="B459">
        <v>79.312027</v>
      </c>
      <c r="C459">
        <v>3853934</v>
      </c>
      <c r="D459">
        <v>77.249534999999995</v>
      </c>
    </row>
    <row r="460" spans="2:4" x14ac:dyDescent="0.3">
      <c r="B460">
        <v>76.547798</v>
      </c>
      <c r="C460">
        <v>2257295</v>
      </c>
      <c r="D460">
        <v>75.654754999999994</v>
      </c>
    </row>
    <row r="461" spans="2:4" x14ac:dyDescent="0.3">
      <c r="B461">
        <v>74.527809000000005</v>
      </c>
      <c r="C461">
        <v>2749031</v>
      </c>
      <c r="D461">
        <v>74.421509</v>
      </c>
    </row>
    <row r="462" spans="2:4" x14ac:dyDescent="0.3">
      <c r="B462">
        <v>72.826729</v>
      </c>
      <c r="C462">
        <v>3642331</v>
      </c>
      <c r="D462">
        <v>73.464668000000003</v>
      </c>
    </row>
    <row r="463" spans="2:4" x14ac:dyDescent="0.3">
      <c r="B463">
        <v>73.656058999999999</v>
      </c>
      <c r="C463">
        <v>3585222</v>
      </c>
      <c r="D463">
        <v>73.273285000000001</v>
      </c>
    </row>
    <row r="464" spans="2:4" x14ac:dyDescent="0.3">
      <c r="B464">
        <v>75.059380000000004</v>
      </c>
      <c r="C464">
        <v>4184563</v>
      </c>
      <c r="D464">
        <v>76.760475</v>
      </c>
    </row>
    <row r="465" spans="2:4" x14ac:dyDescent="0.3">
      <c r="B465">
        <v>77.334548999999996</v>
      </c>
      <c r="C465">
        <v>2934785</v>
      </c>
      <c r="D465">
        <v>75.739829999999998</v>
      </c>
    </row>
    <row r="466" spans="2:4" x14ac:dyDescent="0.3">
      <c r="B466">
        <v>76.271407999999994</v>
      </c>
      <c r="C466">
        <v>3158410</v>
      </c>
      <c r="D466">
        <v>73.996239000000003</v>
      </c>
    </row>
    <row r="467" spans="2:4" x14ac:dyDescent="0.3">
      <c r="B467">
        <v>75.059380000000004</v>
      </c>
      <c r="C467">
        <v>2990090</v>
      </c>
      <c r="D467">
        <v>74.719200000000001</v>
      </c>
    </row>
    <row r="468" spans="2:4" x14ac:dyDescent="0.3">
      <c r="B468">
        <v>75.357062999999997</v>
      </c>
      <c r="C468">
        <v>3285853</v>
      </c>
      <c r="D468">
        <v>75.399651000000006</v>
      </c>
    </row>
    <row r="469" spans="2:4" x14ac:dyDescent="0.3">
      <c r="B469">
        <v>75.697333999999998</v>
      </c>
      <c r="C469">
        <v>2637819</v>
      </c>
      <c r="D469">
        <v>76.845482000000004</v>
      </c>
    </row>
    <row r="470" spans="2:4" x14ac:dyDescent="0.3">
      <c r="B470">
        <v>75.739829999999998</v>
      </c>
      <c r="C470">
        <v>1524501</v>
      </c>
      <c r="D470">
        <v>75.782332999999994</v>
      </c>
    </row>
    <row r="471" spans="2:4" x14ac:dyDescent="0.3">
      <c r="B471">
        <v>76.590384999999998</v>
      </c>
      <c r="C471">
        <v>2018040</v>
      </c>
      <c r="D471">
        <v>77.313338999999999</v>
      </c>
    </row>
    <row r="472" spans="2:4" x14ac:dyDescent="0.3">
      <c r="B472">
        <v>77.823607999999993</v>
      </c>
      <c r="C472">
        <v>2200187</v>
      </c>
      <c r="D472">
        <v>77.759818999999993</v>
      </c>
    </row>
    <row r="473" spans="2:4" x14ac:dyDescent="0.3">
      <c r="B473">
        <v>77.611014999999995</v>
      </c>
      <c r="C473">
        <v>2287954</v>
      </c>
      <c r="D473">
        <v>76.802978999999993</v>
      </c>
    </row>
    <row r="474" spans="2:4" x14ac:dyDescent="0.3">
      <c r="B474">
        <v>76.973067999999998</v>
      </c>
      <c r="C474">
        <v>3537732</v>
      </c>
      <c r="D474">
        <v>74.357719000000003</v>
      </c>
    </row>
    <row r="475" spans="2:4" x14ac:dyDescent="0.3">
      <c r="B475">
        <v>74.634101999999999</v>
      </c>
      <c r="C475">
        <v>2275330</v>
      </c>
      <c r="D475">
        <v>74.676604999999995</v>
      </c>
    </row>
    <row r="476" spans="2:4" x14ac:dyDescent="0.3">
      <c r="B476">
        <v>75.357062999999997</v>
      </c>
      <c r="C476">
        <v>2379929</v>
      </c>
      <c r="D476">
        <v>76.760475</v>
      </c>
    </row>
    <row r="477" spans="2:4" x14ac:dyDescent="0.3">
      <c r="B477">
        <v>76.547798</v>
      </c>
      <c r="C477">
        <v>2411188</v>
      </c>
      <c r="D477">
        <v>74.400222999999997</v>
      </c>
    </row>
    <row r="478" spans="2:4" x14ac:dyDescent="0.3">
      <c r="B478">
        <v>73.783562000000003</v>
      </c>
      <c r="C478">
        <v>3384440</v>
      </c>
      <c r="D478">
        <v>70.466560000000001</v>
      </c>
    </row>
    <row r="479" spans="2:4" x14ac:dyDescent="0.3">
      <c r="B479">
        <v>67.617241000000007</v>
      </c>
      <c r="C479">
        <v>5857547</v>
      </c>
      <c r="D479">
        <v>68.042518999999999</v>
      </c>
    </row>
    <row r="480" spans="2:4" x14ac:dyDescent="0.3">
      <c r="B480">
        <v>68.467788999999996</v>
      </c>
      <c r="C480">
        <v>2209204</v>
      </c>
      <c r="D480">
        <v>67.702324000000004</v>
      </c>
    </row>
    <row r="481" spans="2:4" x14ac:dyDescent="0.3">
      <c r="B481">
        <v>65.490951999999993</v>
      </c>
      <c r="C481">
        <v>4500163</v>
      </c>
      <c r="D481">
        <v>66.936790000000002</v>
      </c>
    </row>
    <row r="482" spans="2:4" x14ac:dyDescent="0.3">
      <c r="B482">
        <v>69.701012000000006</v>
      </c>
      <c r="C482">
        <v>3509478</v>
      </c>
      <c r="D482">
        <v>70.168869000000001</v>
      </c>
    </row>
    <row r="483" spans="2:4" x14ac:dyDescent="0.3">
      <c r="B483">
        <v>69.020645000000002</v>
      </c>
      <c r="C483">
        <v>3611072</v>
      </c>
      <c r="D483">
        <v>68.042518999999999</v>
      </c>
    </row>
    <row r="484" spans="2:4" x14ac:dyDescent="0.3">
      <c r="B484">
        <v>67.617241000000007</v>
      </c>
      <c r="C484">
        <v>2674489</v>
      </c>
      <c r="D484">
        <v>68.595366999999996</v>
      </c>
    </row>
    <row r="485" spans="2:4" x14ac:dyDescent="0.3">
      <c r="B485">
        <v>70.147582999999997</v>
      </c>
      <c r="C485">
        <v>1320713</v>
      </c>
      <c r="D485">
        <v>69.530922000000004</v>
      </c>
    </row>
    <row r="486" spans="2:4" x14ac:dyDescent="0.3">
      <c r="B486">
        <v>69.956192000000001</v>
      </c>
      <c r="C486">
        <v>3482427</v>
      </c>
      <c r="D486">
        <v>68.425278000000006</v>
      </c>
    </row>
    <row r="487" spans="2:4" x14ac:dyDescent="0.3">
      <c r="B487">
        <v>69.403335999999996</v>
      </c>
      <c r="C487">
        <v>2795319</v>
      </c>
      <c r="D487">
        <v>68.680381999999994</v>
      </c>
    </row>
    <row r="488" spans="2:4" x14ac:dyDescent="0.3">
      <c r="B488">
        <v>68.170096999999998</v>
      </c>
      <c r="C488">
        <v>2999107</v>
      </c>
      <c r="D488">
        <v>65.873642000000004</v>
      </c>
    </row>
    <row r="489" spans="2:4" x14ac:dyDescent="0.3">
      <c r="B489">
        <v>64.959311999999997</v>
      </c>
      <c r="C489">
        <v>2512180</v>
      </c>
      <c r="D489">
        <v>65.703552000000002</v>
      </c>
    </row>
    <row r="490" spans="2:4" x14ac:dyDescent="0.3">
      <c r="B490">
        <v>67.510947999999999</v>
      </c>
      <c r="C490">
        <v>2234452</v>
      </c>
      <c r="D490">
        <v>66.766684999999995</v>
      </c>
    </row>
    <row r="491" spans="2:4" x14ac:dyDescent="0.3">
      <c r="B491">
        <v>67.191970999999995</v>
      </c>
      <c r="C491">
        <v>1757745</v>
      </c>
      <c r="D491">
        <v>65.427170000000004</v>
      </c>
    </row>
    <row r="492" spans="2:4" x14ac:dyDescent="0.3">
      <c r="B492">
        <v>66.065025000000006</v>
      </c>
      <c r="C492">
        <v>1514882</v>
      </c>
      <c r="D492">
        <v>65.597251999999997</v>
      </c>
    </row>
    <row r="493" spans="2:4" x14ac:dyDescent="0.3">
      <c r="B493">
        <v>65.894942999999998</v>
      </c>
      <c r="C493">
        <v>3472808</v>
      </c>
      <c r="D493">
        <v>62.088776000000003</v>
      </c>
    </row>
    <row r="494" spans="2:4" x14ac:dyDescent="0.3">
      <c r="B494">
        <v>63.151924000000001</v>
      </c>
      <c r="C494">
        <v>4166529</v>
      </c>
      <c r="D494">
        <v>62.492764000000001</v>
      </c>
    </row>
    <row r="495" spans="2:4" x14ac:dyDescent="0.3">
      <c r="B495">
        <v>62.577849999999998</v>
      </c>
      <c r="C495">
        <v>3133763</v>
      </c>
      <c r="D495">
        <v>60.366486000000002</v>
      </c>
    </row>
    <row r="496" spans="2:4" x14ac:dyDescent="0.3">
      <c r="B496">
        <v>62.046280000000003</v>
      </c>
      <c r="C496">
        <v>1776981</v>
      </c>
      <c r="D496">
        <v>61.344611999999998</v>
      </c>
    </row>
    <row r="497" spans="2:4" x14ac:dyDescent="0.3">
      <c r="B497">
        <v>61.450909000000003</v>
      </c>
      <c r="C497">
        <v>2227238</v>
      </c>
      <c r="D497">
        <v>63.194499999999998</v>
      </c>
    </row>
    <row r="498" spans="2:4" x14ac:dyDescent="0.3">
      <c r="B498">
        <v>65.023094</v>
      </c>
      <c r="C498">
        <v>2229041</v>
      </c>
      <c r="D498">
        <v>62.322670000000002</v>
      </c>
    </row>
    <row r="499" spans="2:4" x14ac:dyDescent="0.3">
      <c r="B499">
        <v>62.046280000000003</v>
      </c>
      <c r="C499">
        <v>1434329</v>
      </c>
      <c r="D499">
        <v>62.024979000000002</v>
      </c>
    </row>
    <row r="500" spans="2:4" x14ac:dyDescent="0.3">
      <c r="B500">
        <v>61.450909000000003</v>
      </c>
      <c r="C500">
        <v>1665168</v>
      </c>
      <c r="D500">
        <v>61.663502000000001</v>
      </c>
    </row>
    <row r="501" spans="2:4" x14ac:dyDescent="0.3">
      <c r="B501">
        <v>61.578505999999997</v>
      </c>
      <c r="C501">
        <v>1790807</v>
      </c>
      <c r="D501">
        <v>61.110649000000002</v>
      </c>
    </row>
    <row r="502" spans="2:4" x14ac:dyDescent="0.3">
      <c r="B502">
        <v>60.387695000000001</v>
      </c>
      <c r="C502">
        <v>1555159</v>
      </c>
      <c r="D502">
        <v>59.111958000000001</v>
      </c>
    </row>
    <row r="503" spans="2:4" x14ac:dyDescent="0.3">
      <c r="B503">
        <v>57.942431999999997</v>
      </c>
      <c r="C503">
        <v>2867456</v>
      </c>
      <c r="D503">
        <v>54.242660999999998</v>
      </c>
    </row>
    <row r="504" spans="2:4" x14ac:dyDescent="0.3">
      <c r="B504">
        <v>52.307682</v>
      </c>
      <c r="C504">
        <v>6558481</v>
      </c>
      <c r="D504">
        <v>49.756129999999999</v>
      </c>
    </row>
    <row r="505" spans="2:4" x14ac:dyDescent="0.3">
      <c r="B505">
        <v>50.287700999999998</v>
      </c>
      <c r="C505">
        <v>2881283</v>
      </c>
      <c r="D505">
        <v>50.819271000000001</v>
      </c>
    </row>
    <row r="506" spans="2:4" x14ac:dyDescent="0.3">
      <c r="B506">
        <v>49.756129999999999</v>
      </c>
      <c r="C506">
        <v>3284049</v>
      </c>
      <c r="D506">
        <v>52.137580999999997</v>
      </c>
    </row>
    <row r="507" spans="2:4" x14ac:dyDescent="0.3">
      <c r="B507">
        <v>51.882407999999998</v>
      </c>
      <c r="C507">
        <v>3936290</v>
      </c>
      <c r="D507">
        <v>49.585957000000001</v>
      </c>
    </row>
    <row r="508" spans="2:4" x14ac:dyDescent="0.3">
      <c r="B508">
        <v>48.799205999999998</v>
      </c>
      <c r="C508">
        <v>5252195</v>
      </c>
      <c r="D508">
        <v>44.227673000000003</v>
      </c>
    </row>
    <row r="509" spans="2:4" x14ac:dyDescent="0.3">
      <c r="B509">
        <v>46.779223999999999</v>
      </c>
      <c r="C509">
        <v>3353181</v>
      </c>
      <c r="D509">
        <v>46.439030000000002</v>
      </c>
    </row>
    <row r="510" spans="2:4" x14ac:dyDescent="0.3">
      <c r="B510">
        <v>50.393996999999999</v>
      </c>
      <c r="C510">
        <v>3115902</v>
      </c>
      <c r="D510">
        <v>53.796084999999998</v>
      </c>
    </row>
    <row r="511" spans="2:4" x14ac:dyDescent="0.3">
      <c r="B511">
        <v>53.540908999999999</v>
      </c>
      <c r="C511">
        <v>3767968</v>
      </c>
      <c r="D511">
        <v>53.370815</v>
      </c>
    </row>
    <row r="512" spans="2:4" x14ac:dyDescent="0.3">
      <c r="B512">
        <v>52.605358000000003</v>
      </c>
      <c r="C512">
        <v>2904521</v>
      </c>
      <c r="D512">
        <v>54.157573999999997</v>
      </c>
    </row>
    <row r="513" spans="2:4" x14ac:dyDescent="0.3">
      <c r="B513">
        <v>53.711089999999999</v>
      </c>
      <c r="C513">
        <v>2945629</v>
      </c>
      <c r="D513">
        <v>53.668506999999998</v>
      </c>
    </row>
    <row r="514" spans="2:4" x14ac:dyDescent="0.3">
      <c r="B514">
        <v>56.645412</v>
      </c>
      <c r="C514">
        <v>3257810</v>
      </c>
      <c r="D514">
        <v>55.773575000000001</v>
      </c>
    </row>
    <row r="515" spans="2:4" x14ac:dyDescent="0.3">
      <c r="B515">
        <v>56.177635000000002</v>
      </c>
      <c r="C515">
        <v>2182710</v>
      </c>
      <c r="D515">
        <v>56.347729000000001</v>
      </c>
    </row>
    <row r="516" spans="2:4" x14ac:dyDescent="0.3">
      <c r="B516">
        <v>57.410862000000002</v>
      </c>
      <c r="C516">
        <v>3706281</v>
      </c>
      <c r="D516">
        <v>59.749825000000001</v>
      </c>
    </row>
    <row r="517" spans="2:4" x14ac:dyDescent="0.3">
      <c r="B517">
        <v>59.111958000000001</v>
      </c>
      <c r="C517">
        <v>2301010</v>
      </c>
      <c r="D517">
        <v>58.367702000000001</v>
      </c>
    </row>
    <row r="518" spans="2:4" x14ac:dyDescent="0.3">
      <c r="B518">
        <v>58.686680000000003</v>
      </c>
      <c r="C518">
        <v>1916314</v>
      </c>
      <c r="D518">
        <v>56.475310999999998</v>
      </c>
    </row>
    <row r="519" spans="2:4" x14ac:dyDescent="0.3">
      <c r="B519">
        <v>56.135052000000002</v>
      </c>
      <c r="C519">
        <v>2011930</v>
      </c>
      <c r="D519">
        <v>56.943085000000004</v>
      </c>
    </row>
    <row r="520" spans="2:4" x14ac:dyDescent="0.3">
      <c r="B520">
        <v>58.792976000000003</v>
      </c>
      <c r="C520">
        <v>1068662</v>
      </c>
      <c r="D520">
        <v>56.347729000000001</v>
      </c>
    </row>
    <row r="521" spans="2:4" x14ac:dyDescent="0.3">
      <c r="B521">
        <v>56.985596000000001</v>
      </c>
      <c r="C521">
        <v>1447539</v>
      </c>
      <c r="D521">
        <v>55.901156999999998</v>
      </c>
    </row>
    <row r="522" spans="2:4" x14ac:dyDescent="0.3">
      <c r="B522">
        <v>55.284508000000002</v>
      </c>
      <c r="C522">
        <v>1045998</v>
      </c>
      <c r="D522">
        <v>54.391460000000002</v>
      </c>
    </row>
    <row r="523" spans="2:4" x14ac:dyDescent="0.3">
      <c r="B523">
        <v>54.519050999999997</v>
      </c>
      <c r="C523">
        <v>1530061</v>
      </c>
      <c r="D523">
        <v>53.944969</v>
      </c>
    </row>
    <row r="524" spans="2:4" x14ac:dyDescent="0.3">
      <c r="B524">
        <v>53.668506999999998</v>
      </c>
      <c r="C524">
        <v>2053511</v>
      </c>
      <c r="D524">
        <v>55.497185000000002</v>
      </c>
    </row>
    <row r="525" spans="2:4" x14ac:dyDescent="0.3">
      <c r="B525">
        <v>56.050037000000003</v>
      </c>
      <c r="C525">
        <v>1016704</v>
      </c>
      <c r="D525">
        <v>57.283279</v>
      </c>
    </row>
    <row r="526" spans="2:4" x14ac:dyDescent="0.3">
      <c r="B526">
        <v>56.985596000000001</v>
      </c>
      <c r="C526">
        <v>1109146</v>
      </c>
      <c r="D526">
        <v>55.454681000000001</v>
      </c>
    </row>
    <row r="527" spans="2:4" x14ac:dyDescent="0.3">
      <c r="B527">
        <v>55.816158000000001</v>
      </c>
      <c r="C527">
        <v>894332</v>
      </c>
      <c r="D527">
        <v>57.793633</v>
      </c>
    </row>
    <row r="528" spans="2:4" x14ac:dyDescent="0.3">
      <c r="B528">
        <v>57.410862000000002</v>
      </c>
      <c r="C528">
        <v>754494</v>
      </c>
      <c r="D528">
        <v>58.559097000000001</v>
      </c>
    </row>
    <row r="529" spans="2:4" x14ac:dyDescent="0.3">
      <c r="B529">
        <v>59.409633999999997</v>
      </c>
      <c r="C529">
        <v>479700</v>
      </c>
      <c r="D529">
        <v>59.090668000000001</v>
      </c>
    </row>
    <row r="530" spans="2:4" x14ac:dyDescent="0.3">
      <c r="B530">
        <v>59.749825000000001</v>
      </c>
      <c r="C530">
        <v>283766</v>
      </c>
      <c r="D530">
        <v>57.495956</v>
      </c>
    </row>
    <row r="531" spans="2:4" x14ac:dyDescent="0.3">
      <c r="B531">
        <v>56.581608000000003</v>
      </c>
      <c r="C531">
        <v>161371</v>
      </c>
      <c r="D531">
        <v>54.859318000000002</v>
      </c>
    </row>
    <row r="532" spans="2:4" x14ac:dyDescent="0.3">
      <c r="B532">
        <v>55.709781999999997</v>
      </c>
      <c r="C532">
        <v>247426</v>
      </c>
      <c r="D532">
        <v>58.686680000000003</v>
      </c>
    </row>
    <row r="533" spans="2:4" x14ac:dyDescent="0.3">
      <c r="B533">
        <v>58.452801000000001</v>
      </c>
      <c r="C533">
        <v>178323</v>
      </c>
      <c r="D533">
        <v>57.580952000000003</v>
      </c>
    </row>
    <row r="534" spans="2:4" x14ac:dyDescent="0.3">
      <c r="B534">
        <v>55.284508000000002</v>
      </c>
      <c r="C534">
        <v>15267739</v>
      </c>
      <c r="D534">
        <v>55.497185000000002</v>
      </c>
    </row>
    <row r="535" spans="2:4" x14ac:dyDescent="0.3">
      <c r="B535">
        <v>56.858006000000003</v>
      </c>
      <c r="C535">
        <v>15464068</v>
      </c>
      <c r="D535">
        <v>59.919918000000003</v>
      </c>
    </row>
    <row r="536" spans="2:4" x14ac:dyDescent="0.3">
      <c r="B536">
        <v>60.281395000000003</v>
      </c>
      <c r="C536">
        <v>17057620</v>
      </c>
      <c r="D536">
        <v>59.239547999999999</v>
      </c>
    </row>
    <row r="537" spans="2:4" x14ac:dyDescent="0.3">
      <c r="B537">
        <v>59.537230999999998</v>
      </c>
      <c r="C537">
        <v>9398042</v>
      </c>
      <c r="D537">
        <v>59.707324999999997</v>
      </c>
    </row>
    <row r="538" spans="2:4" x14ac:dyDescent="0.3">
      <c r="B538">
        <v>60.600372</v>
      </c>
      <c r="C538">
        <v>12756526</v>
      </c>
      <c r="D538">
        <v>62.747943999999997</v>
      </c>
    </row>
    <row r="539" spans="2:4" x14ac:dyDescent="0.3">
      <c r="B539">
        <v>63.598480000000002</v>
      </c>
      <c r="C539">
        <v>11003100</v>
      </c>
      <c r="D539">
        <v>65.597251999999997</v>
      </c>
    </row>
    <row r="540" spans="2:4" x14ac:dyDescent="0.3">
      <c r="B540">
        <v>67.170753000000005</v>
      </c>
      <c r="C540">
        <v>6322878</v>
      </c>
      <c r="D540">
        <v>65.597251999999997</v>
      </c>
    </row>
    <row r="541" spans="2:4" x14ac:dyDescent="0.3">
      <c r="B541">
        <v>68.212608000000003</v>
      </c>
      <c r="C541">
        <v>8139525</v>
      </c>
      <c r="D541">
        <v>66.979377999999997</v>
      </c>
    </row>
    <row r="542" spans="2:4" x14ac:dyDescent="0.3">
      <c r="B542">
        <v>65.065680999999998</v>
      </c>
      <c r="C542">
        <v>7493375</v>
      </c>
      <c r="D542">
        <v>65.065680999999998</v>
      </c>
    </row>
    <row r="543" spans="2:4" x14ac:dyDescent="0.3">
      <c r="B543">
        <v>65.703552000000002</v>
      </c>
      <c r="C543">
        <v>5238406</v>
      </c>
      <c r="D543">
        <v>67.914917000000003</v>
      </c>
    </row>
    <row r="544" spans="2:4" x14ac:dyDescent="0.3">
      <c r="B544">
        <v>67.319557000000003</v>
      </c>
      <c r="C544">
        <v>6658570</v>
      </c>
      <c r="D544">
        <v>68.467788999999996</v>
      </c>
    </row>
    <row r="545" spans="2:4" x14ac:dyDescent="0.3">
      <c r="B545">
        <v>68.233894000000006</v>
      </c>
      <c r="C545">
        <v>6685524</v>
      </c>
      <c r="D545">
        <v>67.425858000000005</v>
      </c>
    </row>
    <row r="546" spans="2:4" x14ac:dyDescent="0.3">
      <c r="B546">
        <v>66.298919999999995</v>
      </c>
      <c r="C546">
        <v>7059201</v>
      </c>
      <c r="D546">
        <v>67.425858000000005</v>
      </c>
    </row>
    <row r="547" spans="2:4" x14ac:dyDescent="0.3">
      <c r="B547">
        <v>66.341414999999998</v>
      </c>
      <c r="C547">
        <v>9967571</v>
      </c>
      <c r="D547">
        <v>62.981822999999999</v>
      </c>
    </row>
    <row r="548" spans="2:4" x14ac:dyDescent="0.3">
      <c r="B548">
        <v>62.280169999999998</v>
      </c>
      <c r="C548">
        <v>8656123</v>
      </c>
      <c r="D548">
        <v>62.684147000000003</v>
      </c>
    </row>
    <row r="549" spans="2:4" x14ac:dyDescent="0.3">
      <c r="B549">
        <v>61.578505999999997</v>
      </c>
      <c r="C549">
        <v>6790950</v>
      </c>
      <c r="D549">
        <v>62.386467000000003</v>
      </c>
    </row>
    <row r="550" spans="2:4" x14ac:dyDescent="0.3">
      <c r="B550">
        <v>63.279513999999999</v>
      </c>
      <c r="C550">
        <v>4405598</v>
      </c>
      <c r="D550">
        <v>62.726734</v>
      </c>
    </row>
    <row r="551" spans="2:4" x14ac:dyDescent="0.3">
      <c r="B551">
        <v>62.939326999999999</v>
      </c>
      <c r="C551">
        <v>4434327</v>
      </c>
      <c r="D551">
        <v>62.726734</v>
      </c>
    </row>
    <row r="552" spans="2:4" x14ac:dyDescent="0.3">
      <c r="B552">
        <v>63.789870999999998</v>
      </c>
      <c r="C552">
        <v>4454159</v>
      </c>
      <c r="D552">
        <v>64.853012000000007</v>
      </c>
    </row>
    <row r="553" spans="2:4" x14ac:dyDescent="0.3">
      <c r="B553">
        <v>64.640418999999994</v>
      </c>
      <c r="C553">
        <v>5527729</v>
      </c>
      <c r="D553">
        <v>64.640418999999994</v>
      </c>
    </row>
    <row r="554" spans="2:4" x14ac:dyDescent="0.3">
      <c r="B554">
        <v>63.343299999999999</v>
      </c>
      <c r="C554">
        <v>5444397</v>
      </c>
      <c r="D554">
        <v>64.640418999999994</v>
      </c>
    </row>
    <row r="555" spans="2:4" x14ac:dyDescent="0.3">
      <c r="B555">
        <v>62.216372999999997</v>
      </c>
      <c r="C555">
        <v>5601644</v>
      </c>
      <c r="D555">
        <v>63.258305</v>
      </c>
    </row>
    <row r="556" spans="2:4" x14ac:dyDescent="0.3">
      <c r="B556">
        <v>62.811729</v>
      </c>
      <c r="C556">
        <v>7561634</v>
      </c>
      <c r="D556">
        <v>63.662272999999999</v>
      </c>
    </row>
    <row r="557" spans="2:4" x14ac:dyDescent="0.3">
      <c r="B557">
        <v>64.427741999999995</v>
      </c>
      <c r="C557">
        <v>7215311</v>
      </c>
      <c r="D557">
        <v>64.215148999999997</v>
      </c>
    </row>
    <row r="558" spans="2:4" x14ac:dyDescent="0.3">
      <c r="B558">
        <v>64.193848000000003</v>
      </c>
      <c r="C558">
        <v>9129481</v>
      </c>
      <c r="D558">
        <v>64.257644999999997</v>
      </c>
    </row>
    <row r="559" spans="2:4" x14ac:dyDescent="0.3">
      <c r="B559">
        <v>64.640418999999994</v>
      </c>
      <c r="C559">
        <v>13327254</v>
      </c>
      <c r="D559">
        <v>64.257644999999997</v>
      </c>
    </row>
    <row r="560" spans="2:4" x14ac:dyDescent="0.3">
      <c r="B560">
        <v>64.810501000000002</v>
      </c>
      <c r="C560">
        <v>8284320</v>
      </c>
      <c r="D560">
        <v>66.107535999999996</v>
      </c>
    </row>
    <row r="561" spans="2:4" x14ac:dyDescent="0.3">
      <c r="B561">
        <v>65.703552000000002</v>
      </c>
      <c r="C561">
        <v>6524322</v>
      </c>
      <c r="D561">
        <v>65.746063000000007</v>
      </c>
    </row>
    <row r="562" spans="2:4" x14ac:dyDescent="0.3">
      <c r="B562">
        <v>65.703552000000002</v>
      </c>
      <c r="C562">
        <v>6381271</v>
      </c>
      <c r="D562">
        <v>67.106964000000005</v>
      </c>
    </row>
    <row r="563" spans="2:4" x14ac:dyDescent="0.3">
      <c r="B563">
        <v>67.106964000000005</v>
      </c>
      <c r="C563">
        <v>0</v>
      </c>
      <c r="D563">
        <v>67.106964000000005</v>
      </c>
    </row>
    <row r="564" spans="2:4" x14ac:dyDescent="0.3">
      <c r="B564">
        <v>67.106964000000005</v>
      </c>
      <c r="C564">
        <v>0</v>
      </c>
      <c r="D564">
        <v>67.106964000000005</v>
      </c>
    </row>
    <row r="565" spans="2:4" x14ac:dyDescent="0.3">
      <c r="B565">
        <v>67.596024</v>
      </c>
      <c r="C565">
        <v>7013054</v>
      </c>
      <c r="D565">
        <v>70.742942999999997</v>
      </c>
    </row>
    <row r="566" spans="2:4" x14ac:dyDescent="0.3">
      <c r="B566">
        <v>70.509063999999995</v>
      </c>
      <c r="C566">
        <v>3648585</v>
      </c>
      <c r="D566">
        <v>70.190085999999994</v>
      </c>
    </row>
    <row r="567" spans="2:4" x14ac:dyDescent="0.3">
      <c r="B567">
        <v>70.679152999999999</v>
      </c>
      <c r="C567">
        <v>2972183</v>
      </c>
      <c r="D567">
        <v>69.530922000000004</v>
      </c>
    </row>
    <row r="568" spans="2:4" x14ac:dyDescent="0.3">
      <c r="B568">
        <v>69.530922000000004</v>
      </c>
      <c r="C568">
        <v>0</v>
      </c>
      <c r="D568">
        <v>69.530922000000004</v>
      </c>
    </row>
    <row r="569" spans="2:4" x14ac:dyDescent="0.3">
      <c r="B569">
        <v>69.530922000000004</v>
      </c>
      <c r="C569">
        <v>0</v>
      </c>
      <c r="D569">
        <v>69.530922000000004</v>
      </c>
    </row>
    <row r="570" spans="2:4" x14ac:dyDescent="0.3">
      <c r="B570">
        <v>69.035042000000004</v>
      </c>
      <c r="C570">
        <v>4805616</v>
      </c>
      <c r="D570">
        <v>72.777901</v>
      </c>
    </row>
    <row r="571" spans="2:4" x14ac:dyDescent="0.3">
      <c r="B571">
        <v>71.862983999999997</v>
      </c>
      <c r="C571">
        <v>4254356</v>
      </c>
      <c r="D571">
        <v>72.179046999999997</v>
      </c>
    </row>
    <row r="572" spans="2:4" x14ac:dyDescent="0.3">
      <c r="B572">
        <v>74.857269000000002</v>
      </c>
      <c r="C572">
        <v>4965739</v>
      </c>
      <c r="D572">
        <v>76.944962000000004</v>
      </c>
    </row>
    <row r="573" spans="2:4" x14ac:dyDescent="0.3">
      <c r="B573">
        <v>77.452324000000004</v>
      </c>
      <c r="C573">
        <v>6149097</v>
      </c>
      <c r="D573">
        <v>75.938545000000005</v>
      </c>
    </row>
    <row r="574" spans="2:4" x14ac:dyDescent="0.3">
      <c r="B574">
        <v>76.437591999999995</v>
      </c>
      <c r="C574">
        <v>4124191</v>
      </c>
      <c r="D574">
        <v>77.061401000000004</v>
      </c>
    </row>
    <row r="575" spans="2:4" x14ac:dyDescent="0.3">
      <c r="B575">
        <v>77.435692000000003</v>
      </c>
      <c r="C575">
        <v>3085808</v>
      </c>
      <c r="D575">
        <v>76.354416000000001</v>
      </c>
    </row>
    <row r="576" spans="2:4" x14ac:dyDescent="0.3">
      <c r="B576">
        <v>76.770294000000007</v>
      </c>
      <c r="C576">
        <v>4133764</v>
      </c>
      <c r="D576">
        <v>75.689018000000004</v>
      </c>
    </row>
    <row r="577" spans="2:4" x14ac:dyDescent="0.3">
      <c r="B577">
        <v>75.065207999999998</v>
      </c>
      <c r="C577">
        <v>6606635</v>
      </c>
      <c r="D577">
        <v>71.779808000000003</v>
      </c>
    </row>
    <row r="578" spans="2:4" x14ac:dyDescent="0.3">
      <c r="B578">
        <v>73.609650000000002</v>
      </c>
      <c r="C578">
        <v>5419259</v>
      </c>
      <c r="D578">
        <v>71.779808000000003</v>
      </c>
    </row>
    <row r="579" spans="2:4" x14ac:dyDescent="0.3">
      <c r="B579">
        <v>72.112503000000004</v>
      </c>
      <c r="C579">
        <v>6019200</v>
      </c>
      <c r="D579">
        <v>74.940444999999997</v>
      </c>
    </row>
    <row r="580" spans="2:4" x14ac:dyDescent="0.3">
      <c r="B580">
        <v>76.104896999999994</v>
      </c>
      <c r="C580">
        <v>2519091</v>
      </c>
      <c r="D580">
        <v>75.896957</v>
      </c>
    </row>
    <row r="581" spans="2:4" x14ac:dyDescent="0.3">
      <c r="B581">
        <v>76.021720999999999</v>
      </c>
      <c r="C581">
        <v>3014293</v>
      </c>
      <c r="D581">
        <v>74.857269000000002</v>
      </c>
    </row>
    <row r="582" spans="2:4" x14ac:dyDescent="0.3">
      <c r="B582">
        <v>76.354416000000001</v>
      </c>
      <c r="C582">
        <v>3300447</v>
      </c>
      <c r="D582">
        <v>76.936638000000002</v>
      </c>
    </row>
    <row r="583" spans="2:4" x14ac:dyDescent="0.3">
      <c r="B583">
        <v>76.113213000000002</v>
      </c>
      <c r="C583">
        <v>3198789</v>
      </c>
      <c r="D583">
        <v>76.504135000000005</v>
      </c>
    </row>
    <row r="584" spans="2:4" x14ac:dyDescent="0.3">
      <c r="B584">
        <v>75.314734999999999</v>
      </c>
      <c r="C584">
        <v>3283912</v>
      </c>
      <c r="D584">
        <v>76.504135000000005</v>
      </c>
    </row>
    <row r="585" spans="2:4" x14ac:dyDescent="0.3">
      <c r="B585">
        <v>73.426665999999997</v>
      </c>
      <c r="C585">
        <v>2731161</v>
      </c>
      <c r="D585">
        <v>73.360123000000002</v>
      </c>
    </row>
    <row r="586" spans="2:4" x14ac:dyDescent="0.3">
      <c r="B586">
        <v>74.275047000000001</v>
      </c>
      <c r="C586">
        <v>2276848</v>
      </c>
      <c r="D586">
        <v>73.900763999999995</v>
      </c>
    </row>
    <row r="587" spans="2:4" x14ac:dyDescent="0.3">
      <c r="B587">
        <v>74.857269000000002</v>
      </c>
      <c r="C587">
        <v>2840602</v>
      </c>
      <c r="D587">
        <v>74.857269000000002</v>
      </c>
    </row>
    <row r="588" spans="2:4" x14ac:dyDescent="0.3">
      <c r="B588">
        <v>74.108695999999995</v>
      </c>
      <c r="C588">
        <v>3120186</v>
      </c>
      <c r="D588">
        <v>75.189971999999997</v>
      </c>
    </row>
    <row r="589" spans="2:4" x14ac:dyDescent="0.3">
      <c r="B589">
        <v>75.689018000000004</v>
      </c>
      <c r="C589">
        <v>3102542</v>
      </c>
      <c r="D589">
        <v>76.470862999999994</v>
      </c>
    </row>
    <row r="590" spans="2:4" x14ac:dyDescent="0.3">
      <c r="B590">
        <v>76.920006000000001</v>
      </c>
      <c r="C590">
        <v>3494678</v>
      </c>
      <c r="D590">
        <v>76.628890999999996</v>
      </c>
    </row>
    <row r="591" spans="2:4" x14ac:dyDescent="0.3">
      <c r="B591">
        <v>76.104896999999994</v>
      </c>
      <c r="C591">
        <v>2318303</v>
      </c>
      <c r="D591">
        <v>75.689018000000004</v>
      </c>
    </row>
    <row r="592" spans="2:4" x14ac:dyDescent="0.3">
      <c r="B592">
        <v>75.214920000000006</v>
      </c>
      <c r="C592">
        <v>2385394</v>
      </c>
      <c r="D592">
        <v>75.065207999999998</v>
      </c>
    </row>
    <row r="593" spans="2:4" x14ac:dyDescent="0.3">
      <c r="B593">
        <v>75.689018000000004</v>
      </c>
      <c r="C593">
        <v>2188790</v>
      </c>
      <c r="D593">
        <v>73.526473999999993</v>
      </c>
    </row>
    <row r="594" spans="2:4" x14ac:dyDescent="0.3">
      <c r="B594">
        <v>72.694725000000005</v>
      </c>
      <c r="C594">
        <v>3377184</v>
      </c>
      <c r="D594">
        <v>73.276955000000001</v>
      </c>
    </row>
    <row r="595" spans="2:4" x14ac:dyDescent="0.3">
      <c r="B595">
        <v>73.942352</v>
      </c>
      <c r="C595">
        <v>2153254</v>
      </c>
      <c r="D595">
        <v>71.746536000000006</v>
      </c>
    </row>
    <row r="596" spans="2:4" x14ac:dyDescent="0.3">
      <c r="B596">
        <v>72.195678999999998</v>
      </c>
      <c r="C596">
        <v>3391888</v>
      </c>
      <c r="D596">
        <v>68.868690000000001</v>
      </c>
    </row>
    <row r="597" spans="2:4" x14ac:dyDescent="0.3">
      <c r="B597">
        <v>67.962081999999995</v>
      </c>
      <c r="C597">
        <v>3484544</v>
      </c>
      <c r="D597">
        <v>68.868690000000001</v>
      </c>
    </row>
    <row r="598" spans="2:4" x14ac:dyDescent="0.3">
      <c r="B598">
        <v>69.384377000000001</v>
      </c>
      <c r="C598">
        <v>2116434</v>
      </c>
      <c r="D598">
        <v>69.450912000000002</v>
      </c>
    </row>
    <row r="599" spans="2:4" x14ac:dyDescent="0.3">
      <c r="B599">
        <v>70.407425000000003</v>
      </c>
      <c r="C599">
        <v>2653745</v>
      </c>
      <c r="D599">
        <v>69.450912000000002</v>
      </c>
    </row>
    <row r="600" spans="2:4" x14ac:dyDescent="0.3">
      <c r="B600">
        <v>69.201385000000002</v>
      </c>
      <c r="C600">
        <v>1893090</v>
      </c>
      <c r="D600">
        <v>70.698532</v>
      </c>
    </row>
    <row r="601" spans="2:4" x14ac:dyDescent="0.3">
      <c r="B601">
        <v>71.322342000000006</v>
      </c>
      <c r="C601">
        <v>1748433</v>
      </c>
      <c r="D601">
        <v>70.615356000000006</v>
      </c>
    </row>
    <row r="602" spans="2:4" x14ac:dyDescent="0.3">
      <c r="B602">
        <v>70.324248999999995</v>
      </c>
      <c r="C602">
        <v>1947117</v>
      </c>
      <c r="D602">
        <v>69.999863000000005</v>
      </c>
    </row>
    <row r="603" spans="2:4" x14ac:dyDescent="0.3">
      <c r="B603">
        <v>69.866791000000006</v>
      </c>
      <c r="C603">
        <v>2105290</v>
      </c>
      <c r="D603">
        <v>71.405518000000001</v>
      </c>
    </row>
    <row r="604" spans="2:4" x14ac:dyDescent="0.3">
      <c r="B604">
        <v>71.571869000000007</v>
      </c>
      <c r="C604">
        <v>2156025</v>
      </c>
      <c r="D604">
        <v>70.698532</v>
      </c>
    </row>
    <row r="605" spans="2:4" x14ac:dyDescent="0.3">
      <c r="B605">
        <v>71.114410000000007</v>
      </c>
      <c r="C605">
        <v>2351937</v>
      </c>
      <c r="D605">
        <v>71.946151999999998</v>
      </c>
    </row>
    <row r="606" spans="2:4" x14ac:dyDescent="0.3">
      <c r="B606">
        <v>72.694725000000005</v>
      </c>
      <c r="C606">
        <v>3424907</v>
      </c>
      <c r="D606">
        <v>74.441399000000004</v>
      </c>
    </row>
    <row r="607" spans="2:4" x14ac:dyDescent="0.3">
      <c r="B607">
        <v>73.526473999999993</v>
      </c>
      <c r="C607">
        <v>4655203</v>
      </c>
      <c r="D607">
        <v>76.188064999999995</v>
      </c>
    </row>
    <row r="608" spans="2:4" x14ac:dyDescent="0.3">
      <c r="B608">
        <v>75.730605999999995</v>
      </c>
      <c r="C608">
        <v>4542943</v>
      </c>
      <c r="D608">
        <v>72.362030000000004</v>
      </c>
    </row>
    <row r="609" spans="2:4" x14ac:dyDescent="0.3">
      <c r="B609">
        <v>72.362030000000004</v>
      </c>
      <c r="C609">
        <v>3461269</v>
      </c>
      <c r="D609">
        <v>72.362030000000004</v>
      </c>
    </row>
    <row r="610" spans="2:4" x14ac:dyDescent="0.3">
      <c r="B610">
        <v>71.031234999999995</v>
      </c>
      <c r="C610">
        <v>2508258</v>
      </c>
      <c r="D610">
        <v>69.201385000000002</v>
      </c>
    </row>
    <row r="611" spans="2:4" x14ac:dyDescent="0.3">
      <c r="B611">
        <v>69.450912000000002</v>
      </c>
      <c r="C611">
        <v>3394086</v>
      </c>
      <c r="D611">
        <v>69.201385000000002</v>
      </c>
    </row>
    <row r="612" spans="2:4" x14ac:dyDescent="0.3">
      <c r="B612">
        <v>69.242973000000006</v>
      </c>
      <c r="C612">
        <v>4186903</v>
      </c>
      <c r="D612">
        <v>66.423355000000001</v>
      </c>
    </row>
    <row r="613" spans="2:4" x14ac:dyDescent="0.3">
      <c r="B613">
        <v>66.622971000000007</v>
      </c>
      <c r="C613">
        <v>3907936</v>
      </c>
      <c r="D613">
        <v>67.413132000000004</v>
      </c>
    </row>
    <row r="614" spans="2:4" x14ac:dyDescent="0.3">
      <c r="B614">
        <v>68.702338999999995</v>
      </c>
      <c r="C614">
        <v>3203806</v>
      </c>
      <c r="D614">
        <v>69.700439000000003</v>
      </c>
    </row>
    <row r="615" spans="2:4" x14ac:dyDescent="0.3">
      <c r="B615">
        <v>70.116309999999999</v>
      </c>
      <c r="C615">
        <v>1694109</v>
      </c>
      <c r="D615">
        <v>68.785515000000004</v>
      </c>
    </row>
    <row r="616" spans="2:4" x14ac:dyDescent="0.3">
      <c r="B616">
        <v>68.452811999999994</v>
      </c>
      <c r="C616">
        <v>1716923</v>
      </c>
      <c r="D616">
        <v>68.619163999999998</v>
      </c>
    </row>
    <row r="617" spans="2:4" x14ac:dyDescent="0.3">
      <c r="B617">
        <v>68.203293000000002</v>
      </c>
      <c r="C617">
        <v>2791578</v>
      </c>
      <c r="D617">
        <v>66.539794999999998</v>
      </c>
    </row>
    <row r="618" spans="2:4" x14ac:dyDescent="0.3">
      <c r="B618">
        <v>67.205192999999994</v>
      </c>
      <c r="C618">
        <v>2381407</v>
      </c>
      <c r="D618">
        <v>66.864182</v>
      </c>
    </row>
    <row r="619" spans="2:4" x14ac:dyDescent="0.3">
      <c r="B619">
        <v>71.530281000000002</v>
      </c>
      <c r="C619">
        <v>4896737</v>
      </c>
      <c r="D619">
        <v>66.864182</v>
      </c>
    </row>
    <row r="620" spans="2:4" x14ac:dyDescent="0.3">
      <c r="B620">
        <v>70.282661000000004</v>
      </c>
      <c r="C620">
        <v>2808093</v>
      </c>
      <c r="D620">
        <v>70.490600999999998</v>
      </c>
    </row>
    <row r="621" spans="2:4" x14ac:dyDescent="0.3">
      <c r="B621">
        <v>70.573768999999999</v>
      </c>
      <c r="C621">
        <v>2468606</v>
      </c>
      <c r="D621">
        <v>71.289078000000003</v>
      </c>
    </row>
    <row r="622" spans="2:4" x14ac:dyDescent="0.3">
      <c r="B622">
        <v>70.449012999999994</v>
      </c>
      <c r="C622">
        <v>2772835</v>
      </c>
      <c r="D622">
        <v>70.124626000000006</v>
      </c>
    </row>
    <row r="623" spans="2:4" x14ac:dyDescent="0.3">
      <c r="B623">
        <v>69.991546999999997</v>
      </c>
      <c r="C623">
        <v>2039411</v>
      </c>
      <c r="D623">
        <v>70.399101000000002</v>
      </c>
    </row>
    <row r="624" spans="2:4" x14ac:dyDescent="0.3">
      <c r="B624">
        <v>71.006279000000006</v>
      </c>
      <c r="C624">
        <v>20039374</v>
      </c>
      <c r="D624">
        <v>71.197586000000001</v>
      </c>
    </row>
    <row r="625" spans="2:4" x14ac:dyDescent="0.3">
      <c r="B625">
        <v>70.615356000000006</v>
      </c>
      <c r="C625">
        <v>3065215</v>
      </c>
      <c r="D625">
        <v>69.783614999999998</v>
      </c>
    </row>
    <row r="626" spans="2:4" x14ac:dyDescent="0.3">
      <c r="B626">
        <v>69.450912000000002</v>
      </c>
      <c r="C626">
        <v>2569918</v>
      </c>
      <c r="D626">
        <v>67.205192999999994</v>
      </c>
    </row>
    <row r="627" spans="2:4" x14ac:dyDescent="0.3">
      <c r="B627">
        <v>66.123924000000002</v>
      </c>
      <c r="C627">
        <v>4567364</v>
      </c>
      <c r="D627">
        <v>65.084236000000004</v>
      </c>
    </row>
    <row r="628" spans="2:4" x14ac:dyDescent="0.3">
      <c r="B628">
        <v>65.708045999999996</v>
      </c>
      <c r="C628">
        <v>4668516</v>
      </c>
      <c r="D628">
        <v>66.331862999999998</v>
      </c>
    </row>
    <row r="629" spans="2:4" x14ac:dyDescent="0.3">
      <c r="B629">
        <v>66.781006000000005</v>
      </c>
      <c r="C629">
        <v>3658289</v>
      </c>
      <c r="D629">
        <v>66.539794999999998</v>
      </c>
    </row>
    <row r="630" spans="2:4" x14ac:dyDescent="0.3">
      <c r="B630">
        <v>66.539794999999998</v>
      </c>
      <c r="C630">
        <v>1713463</v>
      </c>
      <c r="D630">
        <v>67.354911999999999</v>
      </c>
    </row>
    <row r="631" spans="2:4" x14ac:dyDescent="0.3">
      <c r="B631">
        <v>67.787414999999996</v>
      </c>
      <c r="C631">
        <v>2026093</v>
      </c>
      <c r="D631">
        <v>66.356812000000005</v>
      </c>
    </row>
    <row r="632" spans="2:4" x14ac:dyDescent="0.3">
      <c r="B632">
        <v>66.955673000000004</v>
      </c>
      <c r="C632">
        <v>2161933</v>
      </c>
      <c r="D632">
        <v>66.997260999999995</v>
      </c>
    </row>
    <row r="633" spans="2:4" x14ac:dyDescent="0.3">
      <c r="B633">
        <v>66.622971000000007</v>
      </c>
      <c r="C633">
        <v>2642130</v>
      </c>
      <c r="D633">
        <v>67.995354000000006</v>
      </c>
    </row>
    <row r="634" spans="2:4" x14ac:dyDescent="0.3">
      <c r="B634">
        <v>67.995354000000006</v>
      </c>
      <c r="C634">
        <v>0</v>
      </c>
      <c r="D634">
        <v>67.995354000000006</v>
      </c>
    </row>
    <row r="635" spans="2:4" x14ac:dyDescent="0.3">
      <c r="B635">
        <v>67.995354000000006</v>
      </c>
      <c r="C635">
        <v>0</v>
      </c>
      <c r="D635">
        <v>67.995354000000006</v>
      </c>
    </row>
    <row r="636" spans="2:4" x14ac:dyDescent="0.3">
      <c r="B636">
        <v>69.101578000000003</v>
      </c>
      <c r="C636">
        <v>3676175</v>
      </c>
      <c r="D636">
        <v>70.207802000000001</v>
      </c>
    </row>
    <row r="637" spans="2:4" x14ac:dyDescent="0.3">
      <c r="B637">
        <v>69.517455999999996</v>
      </c>
      <c r="C637">
        <v>3311638</v>
      </c>
      <c r="D637">
        <v>69.409324999999995</v>
      </c>
    </row>
    <row r="638" spans="2:4" x14ac:dyDescent="0.3">
      <c r="B638">
        <v>69.783614999999998</v>
      </c>
      <c r="C638">
        <v>4672331</v>
      </c>
      <c r="D638">
        <v>69.409324999999995</v>
      </c>
    </row>
    <row r="639" spans="2:4" x14ac:dyDescent="0.3">
      <c r="B639">
        <v>71.862983999999997</v>
      </c>
      <c r="C639">
        <v>5295169</v>
      </c>
      <c r="D639">
        <v>70.690216000000007</v>
      </c>
    </row>
    <row r="640" spans="2:4" x14ac:dyDescent="0.3">
      <c r="B640">
        <v>72.154090999999994</v>
      </c>
      <c r="C640">
        <v>3511024</v>
      </c>
      <c r="D640">
        <v>73.825905000000006</v>
      </c>
    </row>
    <row r="641" spans="2:4" x14ac:dyDescent="0.3">
      <c r="B641">
        <v>74.566162000000006</v>
      </c>
      <c r="C641">
        <v>6236618</v>
      </c>
      <c r="D641">
        <v>73.825905000000006</v>
      </c>
    </row>
    <row r="642" spans="2:4" x14ac:dyDescent="0.3">
      <c r="B642">
        <v>75.497719000000004</v>
      </c>
      <c r="C642">
        <v>4617524</v>
      </c>
      <c r="D642">
        <v>75.065207999999998</v>
      </c>
    </row>
    <row r="643" spans="2:4" x14ac:dyDescent="0.3">
      <c r="B643">
        <v>74.383178999999998</v>
      </c>
      <c r="C643">
        <v>4639393</v>
      </c>
      <c r="D643">
        <v>75.065207999999998</v>
      </c>
    </row>
    <row r="644" spans="2:4" x14ac:dyDescent="0.3">
      <c r="B644">
        <v>74.449714999999998</v>
      </c>
      <c r="C644">
        <v>4607132</v>
      </c>
      <c r="D644">
        <v>75.065207999999998</v>
      </c>
    </row>
    <row r="645" spans="2:4" x14ac:dyDescent="0.3">
      <c r="B645">
        <v>75.689018000000004</v>
      </c>
      <c r="C645">
        <v>5028248</v>
      </c>
      <c r="D645">
        <v>75.64743</v>
      </c>
    </row>
    <row r="646" spans="2:4" x14ac:dyDescent="0.3">
      <c r="B646">
        <v>76.204704000000007</v>
      </c>
      <c r="C646">
        <v>3300181</v>
      </c>
      <c r="D646">
        <v>76.354416000000001</v>
      </c>
    </row>
    <row r="647" spans="2:4" x14ac:dyDescent="0.3">
      <c r="B647">
        <v>76.104896999999994</v>
      </c>
      <c r="C647">
        <v>2266788</v>
      </c>
      <c r="D647">
        <v>76.271240000000006</v>
      </c>
    </row>
    <row r="648" spans="2:4" x14ac:dyDescent="0.3">
      <c r="B648">
        <v>76.944962000000004</v>
      </c>
      <c r="C648">
        <v>3182541</v>
      </c>
      <c r="D648">
        <v>77.643623000000005</v>
      </c>
    </row>
    <row r="649" spans="2:4" x14ac:dyDescent="0.3">
      <c r="B649">
        <v>77.976326</v>
      </c>
      <c r="C649">
        <v>2556624</v>
      </c>
      <c r="D649">
        <v>77.643623000000005</v>
      </c>
    </row>
    <row r="650" spans="2:4" x14ac:dyDescent="0.3">
      <c r="B650">
        <v>76.936638000000002</v>
      </c>
      <c r="C650">
        <v>3110590</v>
      </c>
      <c r="D650">
        <v>78.550231999999994</v>
      </c>
    </row>
    <row r="651" spans="2:4" x14ac:dyDescent="0.3">
      <c r="B651">
        <v>78.749847000000003</v>
      </c>
      <c r="C651">
        <v>4047186</v>
      </c>
      <c r="D651">
        <v>78.550231999999994</v>
      </c>
    </row>
    <row r="652" spans="2:4" x14ac:dyDescent="0.3">
      <c r="B652">
        <v>79.431884999999994</v>
      </c>
      <c r="C652">
        <v>4689565</v>
      </c>
      <c r="D652">
        <v>79.390297000000004</v>
      </c>
    </row>
    <row r="653" spans="2:4" x14ac:dyDescent="0.3">
      <c r="B653">
        <v>77.751755000000003</v>
      </c>
      <c r="C653">
        <v>3266083</v>
      </c>
      <c r="D653">
        <v>78.184264999999996</v>
      </c>
    </row>
    <row r="654" spans="2:4" x14ac:dyDescent="0.3">
      <c r="B654">
        <v>76.520767000000006</v>
      </c>
      <c r="C654">
        <v>2178276</v>
      </c>
      <c r="D654">
        <v>76.978226000000006</v>
      </c>
    </row>
    <row r="655" spans="2:4" x14ac:dyDescent="0.3">
      <c r="B655">
        <v>77.435692000000003</v>
      </c>
      <c r="C655">
        <v>1436194</v>
      </c>
      <c r="D655">
        <v>77.685210999999995</v>
      </c>
    </row>
    <row r="656" spans="2:4" x14ac:dyDescent="0.3">
      <c r="B656">
        <v>78.017914000000005</v>
      </c>
      <c r="C656">
        <v>2787979</v>
      </c>
      <c r="D656">
        <v>77.352515999999994</v>
      </c>
    </row>
    <row r="657" spans="2:4" x14ac:dyDescent="0.3">
      <c r="B657">
        <v>77.019813999999997</v>
      </c>
      <c r="C657">
        <v>2652374</v>
      </c>
      <c r="D657">
        <v>78.017914000000005</v>
      </c>
    </row>
    <row r="658" spans="2:4" x14ac:dyDescent="0.3">
      <c r="B658">
        <v>77.518867</v>
      </c>
      <c r="C658">
        <v>5447711</v>
      </c>
      <c r="D658">
        <v>76.437591999999995</v>
      </c>
    </row>
    <row r="659" spans="2:4" x14ac:dyDescent="0.3">
      <c r="B659">
        <v>77.144576999999998</v>
      </c>
      <c r="C659">
        <v>6931947</v>
      </c>
      <c r="D659">
        <v>77.394103999999999</v>
      </c>
    </row>
    <row r="660" spans="2:4" x14ac:dyDescent="0.3">
      <c r="B660">
        <v>75.896957</v>
      </c>
      <c r="C660">
        <v>3993529</v>
      </c>
      <c r="D660">
        <v>76.030036999999993</v>
      </c>
    </row>
    <row r="661" spans="2:4" x14ac:dyDescent="0.3">
      <c r="B661">
        <v>75.298096000000001</v>
      </c>
      <c r="C661">
        <v>2635741</v>
      </c>
      <c r="D661">
        <v>75.447815000000006</v>
      </c>
    </row>
    <row r="662" spans="2:4" x14ac:dyDescent="0.3">
      <c r="B662">
        <v>75.955177000000006</v>
      </c>
      <c r="C662">
        <v>3095812</v>
      </c>
      <c r="D662">
        <v>75.689018000000004</v>
      </c>
    </row>
    <row r="663" spans="2:4" x14ac:dyDescent="0.3">
      <c r="B663">
        <v>75.689018000000004</v>
      </c>
      <c r="C663">
        <v>0</v>
      </c>
      <c r="D663">
        <v>75.689018000000004</v>
      </c>
    </row>
    <row r="664" spans="2:4" x14ac:dyDescent="0.3">
      <c r="B664">
        <v>75.589211000000006</v>
      </c>
      <c r="C664">
        <v>2289099</v>
      </c>
      <c r="D664">
        <v>74.982033000000001</v>
      </c>
    </row>
    <row r="665" spans="2:4" x14ac:dyDescent="0.3">
      <c r="B665">
        <v>73.202095</v>
      </c>
      <c r="C665">
        <v>3145794</v>
      </c>
      <c r="D665">
        <v>73.934028999999995</v>
      </c>
    </row>
    <row r="666" spans="2:4" x14ac:dyDescent="0.3">
      <c r="B666">
        <v>72.445205999999999</v>
      </c>
      <c r="C666">
        <v>3553195</v>
      </c>
      <c r="D666">
        <v>71.996063000000007</v>
      </c>
    </row>
    <row r="667" spans="2:4" x14ac:dyDescent="0.3">
      <c r="B667">
        <v>72.362030000000004</v>
      </c>
      <c r="C667">
        <v>2732818</v>
      </c>
      <c r="D667">
        <v>74.150283999999999</v>
      </c>
    </row>
    <row r="668" spans="2:4" x14ac:dyDescent="0.3">
      <c r="B668">
        <v>72.769585000000006</v>
      </c>
      <c r="C668">
        <v>1615154</v>
      </c>
      <c r="D668">
        <v>72.578284999999994</v>
      </c>
    </row>
    <row r="669" spans="2:4" x14ac:dyDescent="0.3">
      <c r="B669">
        <v>72.420249999999996</v>
      </c>
      <c r="C669">
        <v>1896448</v>
      </c>
      <c r="D669">
        <v>72.520058000000006</v>
      </c>
    </row>
    <row r="670" spans="2:4" x14ac:dyDescent="0.3">
      <c r="B670">
        <v>72.520058000000006</v>
      </c>
      <c r="C670">
        <v>0</v>
      </c>
      <c r="D670">
        <v>72.520058000000006</v>
      </c>
    </row>
    <row r="671" spans="2:4" x14ac:dyDescent="0.3">
      <c r="B671">
        <v>71.530281000000002</v>
      </c>
      <c r="C671">
        <v>1922385</v>
      </c>
      <c r="D671">
        <v>72.029326999999995</v>
      </c>
    </row>
    <row r="672" spans="2:4" x14ac:dyDescent="0.3">
      <c r="B672">
        <v>70.033134000000004</v>
      </c>
      <c r="C672">
        <v>1761725</v>
      </c>
      <c r="D672">
        <v>70.873199</v>
      </c>
    </row>
    <row r="673" spans="2:4" x14ac:dyDescent="0.3">
      <c r="B673">
        <v>71.197586000000001</v>
      </c>
      <c r="C673">
        <v>2411417</v>
      </c>
      <c r="D673">
        <v>70.931426999999999</v>
      </c>
    </row>
    <row r="674" spans="2:4" x14ac:dyDescent="0.3">
      <c r="B674">
        <v>68.993454</v>
      </c>
      <c r="C674">
        <v>3083928</v>
      </c>
      <c r="D674">
        <v>69.242973000000006</v>
      </c>
    </row>
    <row r="675" spans="2:4" x14ac:dyDescent="0.3">
      <c r="B675">
        <v>69.858467000000005</v>
      </c>
      <c r="C675">
        <v>1126248</v>
      </c>
      <c r="D675">
        <v>69.118217000000001</v>
      </c>
    </row>
    <row r="676" spans="2:4" x14ac:dyDescent="0.3">
      <c r="B676">
        <v>69.450912000000002</v>
      </c>
      <c r="C676">
        <v>2352420</v>
      </c>
      <c r="D676">
        <v>69.168120999999999</v>
      </c>
    </row>
    <row r="677" spans="2:4" x14ac:dyDescent="0.3">
      <c r="B677">
        <v>68.286468999999997</v>
      </c>
      <c r="C677">
        <v>2232933</v>
      </c>
      <c r="D677">
        <v>68.028625000000005</v>
      </c>
    </row>
    <row r="678" spans="2:4" x14ac:dyDescent="0.3">
      <c r="B678">
        <v>68.028625000000005</v>
      </c>
      <c r="C678">
        <v>0</v>
      </c>
      <c r="D678">
        <v>68.028625000000005</v>
      </c>
    </row>
    <row r="679" spans="2:4" x14ac:dyDescent="0.3">
      <c r="B679">
        <v>69.866791000000006</v>
      </c>
      <c r="C679">
        <v>2778200</v>
      </c>
      <c r="D679">
        <v>69.109893999999997</v>
      </c>
    </row>
    <row r="680" spans="2:4" x14ac:dyDescent="0.3">
      <c r="B680">
        <v>70.033134000000004</v>
      </c>
      <c r="C680">
        <v>2652270</v>
      </c>
      <c r="D680">
        <v>69.700439000000003</v>
      </c>
    </row>
    <row r="681" spans="2:4" x14ac:dyDescent="0.3">
      <c r="B681">
        <v>70.723488000000003</v>
      </c>
      <c r="C681">
        <v>3515056</v>
      </c>
      <c r="D681">
        <v>70.365836999999999</v>
      </c>
    </row>
    <row r="682" spans="2:4" x14ac:dyDescent="0.3">
      <c r="B682">
        <v>68.910278000000005</v>
      </c>
      <c r="C682">
        <v>2867547</v>
      </c>
      <c r="D682">
        <v>69.118217000000001</v>
      </c>
    </row>
    <row r="683" spans="2:4" x14ac:dyDescent="0.3">
      <c r="B683">
        <v>69.783614999999998</v>
      </c>
      <c r="C683">
        <v>2911661</v>
      </c>
      <c r="D683">
        <v>69.559036000000006</v>
      </c>
    </row>
    <row r="684" spans="2:4" x14ac:dyDescent="0.3">
      <c r="B684">
        <v>68.411231999999998</v>
      </c>
      <c r="C684">
        <v>3073452</v>
      </c>
      <c r="D684">
        <v>68.120116999999993</v>
      </c>
    </row>
    <row r="685" spans="2:4" x14ac:dyDescent="0.3">
      <c r="B685">
        <v>69.866791000000006</v>
      </c>
      <c r="C685">
        <v>2704257</v>
      </c>
      <c r="D685">
        <v>70.107994000000005</v>
      </c>
    </row>
    <row r="686" spans="2:4" x14ac:dyDescent="0.3">
      <c r="B686">
        <v>70.365836999999999</v>
      </c>
      <c r="C686">
        <v>3581186</v>
      </c>
      <c r="D686">
        <v>70.282661000000004</v>
      </c>
    </row>
    <row r="687" spans="2:4" x14ac:dyDescent="0.3">
      <c r="B687">
        <v>70.449012999999994</v>
      </c>
      <c r="C687">
        <v>2646754</v>
      </c>
      <c r="D687">
        <v>70.848251000000005</v>
      </c>
    </row>
    <row r="688" spans="2:4" x14ac:dyDescent="0.3">
      <c r="B688">
        <v>71.338982000000001</v>
      </c>
      <c r="C688">
        <v>2426417</v>
      </c>
      <c r="D688">
        <v>70.948059000000001</v>
      </c>
    </row>
    <row r="689" spans="2:4" x14ac:dyDescent="0.3">
      <c r="B689">
        <v>71.571869000000007</v>
      </c>
      <c r="C689">
        <v>16150560</v>
      </c>
      <c r="D689">
        <v>71.521964999999994</v>
      </c>
    </row>
    <row r="690" spans="2:4" x14ac:dyDescent="0.3">
      <c r="B690">
        <v>71.122726</v>
      </c>
      <c r="C690">
        <v>3283282</v>
      </c>
      <c r="D690">
        <v>70.715171999999995</v>
      </c>
    </row>
    <row r="691" spans="2:4" x14ac:dyDescent="0.3">
      <c r="B691">
        <v>71.946151999999998</v>
      </c>
      <c r="C691">
        <v>1913860</v>
      </c>
      <c r="D691">
        <v>72.104186999999996</v>
      </c>
    </row>
    <row r="692" spans="2:4" x14ac:dyDescent="0.3">
      <c r="B692">
        <v>71.488692999999998</v>
      </c>
      <c r="C692">
        <v>2123051</v>
      </c>
      <c r="D692">
        <v>71.738219999999998</v>
      </c>
    </row>
    <row r="693" spans="2:4" x14ac:dyDescent="0.3">
      <c r="B693">
        <v>71.114410000000007</v>
      </c>
      <c r="C693">
        <v>2370673</v>
      </c>
      <c r="D693">
        <v>71.363929999999996</v>
      </c>
    </row>
    <row r="694" spans="2:4" x14ac:dyDescent="0.3">
      <c r="B694">
        <v>70.706856000000002</v>
      </c>
      <c r="C694">
        <v>2194875</v>
      </c>
      <c r="D694">
        <v>70.831612000000007</v>
      </c>
    </row>
    <row r="695" spans="2:4" x14ac:dyDescent="0.3">
      <c r="B695">
        <v>71.530281000000002</v>
      </c>
      <c r="C695">
        <v>1774201</v>
      </c>
      <c r="D695">
        <v>71.264122</v>
      </c>
    </row>
    <row r="696" spans="2:4" x14ac:dyDescent="0.3">
      <c r="B696">
        <v>71.197586000000001</v>
      </c>
      <c r="C696">
        <v>1759654</v>
      </c>
      <c r="D696">
        <v>71.272437999999994</v>
      </c>
    </row>
    <row r="697" spans="2:4" x14ac:dyDescent="0.3">
      <c r="B697">
        <v>70.823295999999999</v>
      </c>
      <c r="C697">
        <v>2001274</v>
      </c>
      <c r="D697">
        <v>70.723488000000003</v>
      </c>
    </row>
    <row r="698" spans="2:4" x14ac:dyDescent="0.3">
      <c r="B698">
        <v>71.280761999999996</v>
      </c>
      <c r="C698">
        <v>5078270</v>
      </c>
      <c r="D698">
        <v>70.199485999999993</v>
      </c>
    </row>
    <row r="699" spans="2:4" x14ac:dyDescent="0.3">
      <c r="B699">
        <v>72.362030000000004</v>
      </c>
      <c r="C699">
        <v>2105201</v>
      </c>
      <c r="D699">
        <v>72.245582999999996</v>
      </c>
    </row>
    <row r="700" spans="2:4" x14ac:dyDescent="0.3">
      <c r="B700">
        <v>71.729904000000005</v>
      </c>
      <c r="C700">
        <v>2439395</v>
      </c>
      <c r="D700">
        <v>71.197586000000001</v>
      </c>
    </row>
    <row r="701" spans="2:4" x14ac:dyDescent="0.3">
      <c r="B701">
        <v>73.601333999999994</v>
      </c>
      <c r="C701">
        <v>2799594</v>
      </c>
      <c r="D701">
        <v>72.786216999999994</v>
      </c>
    </row>
    <row r="702" spans="2:4" x14ac:dyDescent="0.3">
      <c r="B702">
        <v>73.701141000000007</v>
      </c>
      <c r="C702">
        <v>2180206</v>
      </c>
      <c r="D702">
        <v>74.108695999999995</v>
      </c>
    </row>
    <row r="703" spans="2:4" x14ac:dyDescent="0.3">
      <c r="B703">
        <v>74.166923999999995</v>
      </c>
      <c r="C703">
        <v>2016573</v>
      </c>
      <c r="D703">
        <v>73.958984000000001</v>
      </c>
    </row>
    <row r="704" spans="2:4" x14ac:dyDescent="0.3">
      <c r="B704">
        <v>72.944252000000006</v>
      </c>
      <c r="C704">
        <v>2610261</v>
      </c>
      <c r="D704">
        <v>73.734413000000004</v>
      </c>
    </row>
    <row r="705" spans="2:4" x14ac:dyDescent="0.3">
      <c r="B705">
        <v>74.233458999999996</v>
      </c>
      <c r="C705">
        <v>1842176</v>
      </c>
      <c r="D705">
        <v>73.734413000000004</v>
      </c>
    </row>
    <row r="706" spans="2:4" x14ac:dyDescent="0.3">
      <c r="B706">
        <v>73.484886000000003</v>
      </c>
      <c r="C706">
        <v>1619536</v>
      </c>
      <c r="D706">
        <v>73.318541999999994</v>
      </c>
    </row>
    <row r="707" spans="2:4" x14ac:dyDescent="0.3">
      <c r="B707">
        <v>72.777901</v>
      </c>
      <c r="C707">
        <v>2610548</v>
      </c>
      <c r="D707">
        <v>72.927620000000005</v>
      </c>
    </row>
    <row r="708" spans="2:4" x14ac:dyDescent="0.3">
      <c r="B708">
        <v>72.910979999999995</v>
      </c>
      <c r="C708">
        <v>2263626</v>
      </c>
      <c r="D708">
        <v>73.069016000000005</v>
      </c>
    </row>
    <row r="709" spans="2:4" x14ac:dyDescent="0.3">
      <c r="B709">
        <v>73.110602999999998</v>
      </c>
      <c r="C709">
        <v>2243406</v>
      </c>
      <c r="D709">
        <v>73.069016000000005</v>
      </c>
    </row>
    <row r="710" spans="2:4" x14ac:dyDescent="0.3">
      <c r="B710">
        <v>73.110602999999998</v>
      </c>
      <c r="C710">
        <v>1446187</v>
      </c>
      <c r="D710">
        <v>73.276955000000001</v>
      </c>
    </row>
    <row r="711" spans="2:4" x14ac:dyDescent="0.3">
      <c r="B711">
        <v>72.611548999999997</v>
      </c>
      <c r="C711">
        <v>2930177</v>
      </c>
      <c r="D711">
        <v>72.861075999999997</v>
      </c>
    </row>
    <row r="712" spans="2:4" x14ac:dyDescent="0.3">
      <c r="B712">
        <v>70.282661000000004</v>
      </c>
      <c r="C712">
        <v>3621534</v>
      </c>
      <c r="D712">
        <v>70.432372999999998</v>
      </c>
    </row>
    <row r="713" spans="2:4" x14ac:dyDescent="0.3">
      <c r="B713">
        <v>69.800246999999999</v>
      </c>
      <c r="C713">
        <v>4154003</v>
      </c>
      <c r="D713">
        <v>69.450912000000002</v>
      </c>
    </row>
    <row r="714" spans="2:4" x14ac:dyDescent="0.3">
      <c r="B714">
        <v>68.702338999999995</v>
      </c>
      <c r="C714">
        <v>4357502</v>
      </c>
      <c r="D714">
        <v>68.369643999999994</v>
      </c>
    </row>
    <row r="715" spans="2:4" x14ac:dyDescent="0.3">
      <c r="B715">
        <v>67.246780000000001</v>
      </c>
      <c r="C715">
        <v>4777487</v>
      </c>
      <c r="D715">
        <v>66.797638000000006</v>
      </c>
    </row>
    <row r="716" spans="2:4" x14ac:dyDescent="0.3">
      <c r="B716">
        <v>65.633194000000003</v>
      </c>
      <c r="C716">
        <v>3024142</v>
      </c>
      <c r="D716">
        <v>65.857765000000001</v>
      </c>
    </row>
    <row r="717" spans="2:4" x14ac:dyDescent="0.3">
      <c r="B717">
        <v>65.915985000000006</v>
      </c>
      <c r="C717">
        <v>3341609</v>
      </c>
      <c r="D717">
        <v>65.391982999999996</v>
      </c>
    </row>
    <row r="718" spans="2:4" x14ac:dyDescent="0.3">
      <c r="B718">
        <v>66.664558</v>
      </c>
      <c r="C718">
        <v>10833502</v>
      </c>
      <c r="D718">
        <v>66.539794999999998</v>
      </c>
    </row>
    <row r="719" spans="2:4" x14ac:dyDescent="0.3">
      <c r="B719">
        <v>61.258201999999997</v>
      </c>
      <c r="C719">
        <v>12628105</v>
      </c>
      <c r="D719">
        <v>61.549312999999998</v>
      </c>
    </row>
    <row r="720" spans="2:4" x14ac:dyDescent="0.3">
      <c r="B720">
        <v>57.889622000000003</v>
      </c>
      <c r="C720">
        <v>8792293</v>
      </c>
      <c r="D720">
        <v>59.220421000000002</v>
      </c>
    </row>
    <row r="721" spans="2:4" x14ac:dyDescent="0.3">
      <c r="B721">
        <v>58.513435000000001</v>
      </c>
      <c r="C721">
        <v>6281901</v>
      </c>
      <c r="D721">
        <v>58.646515000000001</v>
      </c>
    </row>
    <row r="722" spans="2:4" x14ac:dyDescent="0.3">
      <c r="B722">
        <v>59.087341000000002</v>
      </c>
      <c r="C722">
        <v>4276307</v>
      </c>
      <c r="D722">
        <v>59.137245</v>
      </c>
    </row>
    <row r="723" spans="2:4" x14ac:dyDescent="0.3">
      <c r="B723">
        <v>58.563338999999999</v>
      </c>
      <c r="C723">
        <v>5679245</v>
      </c>
      <c r="D723">
        <v>58.970894000000001</v>
      </c>
    </row>
    <row r="724" spans="2:4" x14ac:dyDescent="0.3">
      <c r="B724">
        <v>58.363720000000001</v>
      </c>
      <c r="C724">
        <v>3836494</v>
      </c>
      <c r="D724">
        <v>57.781494000000002</v>
      </c>
    </row>
    <row r="725" spans="2:4" x14ac:dyDescent="0.3">
      <c r="B725">
        <v>58.222321000000001</v>
      </c>
      <c r="C725">
        <v>3132230</v>
      </c>
      <c r="D725">
        <v>58.222321000000001</v>
      </c>
    </row>
    <row r="726" spans="2:4" x14ac:dyDescent="0.3">
      <c r="B726">
        <v>58.887718</v>
      </c>
      <c r="C726">
        <v>3513898</v>
      </c>
      <c r="D726">
        <v>58.796227000000002</v>
      </c>
    </row>
    <row r="727" spans="2:4" x14ac:dyDescent="0.3">
      <c r="B727">
        <v>57.972797</v>
      </c>
      <c r="C727">
        <v>2094477</v>
      </c>
      <c r="D727">
        <v>57.723274000000004</v>
      </c>
    </row>
    <row r="728" spans="2:4" x14ac:dyDescent="0.3">
      <c r="B728">
        <v>58.970894000000001</v>
      </c>
      <c r="C728">
        <v>2647123</v>
      </c>
      <c r="D728">
        <v>58.055973000000002</v>
      </c>
    </row>
    <row r="729" spans="2:4" x14ac:dyDescent="0.3">
      <c r="B729">
        <v>58.604927000000004</v>
      </c>
      <c r="C729">
        <v>2813097</v>
      </c>
      <c r="D729">
        <v>58.804546000000002</v>
      </c>
    </row>
    <row r="730" spans="2:4" x14ac:dyDescent="0.3">
      <c r="B730">
        <v>60.975406999999997</v>
      </c>
      <c r="C730">
        <v>2631450</v>
      </c>
      <c r="D730">
        <v>60.210197000000001</v>
      </c>
    </row>
    <row r="731" spans="2:4" x14ac:dyDescent="0.3">
      <c r="B731">
        <v>61.041946000000003</v>
      </c>
      <c r="C731">
        <v>2661153</v>
      </c>
      <c r="D731">
        <v>60.759151000000003</v>
      </c>
    </row>
    <row r="732" spans="2:4" x14ac:dyDescent="0.3">
      <c r="B732">
        <v>61.590899999999998</v>
      </c>
      <c r="C732">
        <v>3000951</v>
      </c>
      <c r="D732">
        <v>61.299788999999997</v>
      </c>
    </row>
    <row r="733" spans="2:4" x14ac:dyDescent="0.3">
      <c r="B733">
        <v>61.116802</v>
      </c>
      <c r="C733">
        <v>3078409</v>
      </c>
      <c r="D733">
        <v>60.933819</v>
      </c>
    </row>
    <row r="734" spans="2:4" x14ac:dyDescent="0.3">
      <c r="B734">
        <v>59.736103</v>
      </c>
      <c r="C734">
        <v>3364085</v>
      </c>
      <c r="D734">
        <v>59.478259999999999</v>
      </c>
    </row>
    <row r="735" spans="2:4" x14ac:dyDescent="0.3">
      <c r="B735">
        <v>59.561436</v>
      </c>
      <c r="C735">
        <v>1646313</v>
      </c>
      <c r="D735">
        <v>59.054070000000003</v>
      </c>
    </row>
    <row r="736" spans="2:4" x14ac:dyDescent="0.3">
      <c r="B736">
        <v>60.709248000000002</v>
      </c>
      <c r="C736">
        <v>2362409</v>
      </c>
      <c r="D736">
        <v>60.043849999999999</v>
      </c>
    </row>
    <row r="737" spans="2:4" x14ac:dyDescent="0.3">
      <c r="B737">
        <v>60.501308000000002</v>
      </c>
      <c r="C737">
        <v>2699944</v>
      </c>
      <c r="D737">
        <v>60.576168000000003</v>
      </c>
    </row>
    <row r="738" spans="2:4" x14ac:dyDescent="0.3">
      <c r="B738">
        <v>61.540996999999997</v>
      </c>
      <c r="C738">
        <v>2696433</v>
      </c>
      <c r="D738">
        <v>60.950454999999998</v>
      </c>
    </row>
    <row r="739" spans="2:4" x14ac:dyDescent="0.3">
      <c r="B739">
        <v>61.050261999999996</v>
      </c>
      <c r="C739">
        <v>2930748</v>
      </c>
      <c r="D739">
        <v>61.407913000000001</v>
      </c>
    </row>
    <row r="740" spans="2:4" x14ac:dyDescent="0.3">
      <c r="B740">
        <v>61.133437999999998</v>
      </c>
      <c r="C740">
        <v>1174626</v>
      </c>
      <c r="D740">
        <v>61.349693000000002</v>
      </c>
    </row>
    <row r="741" spans="2:4" x14ac:dyDescent="0.3">
      <c r="B741">
        <v>60.534579999999998</v>
      </c>
      <c r="C741">
        <v>2800206</v>
      </c>
      <c r="D741">
        <v>61.125121999999998</v>
      </c>
    </row>
    <row r="742" spans="2:4" x14ac:dyDescent="0.3">
      <c r="B742">
        <v>59.345180999999997</v>
      </c>
      <c r="C742">
        <v>2223893</v>
      </c>
      <c r="D742">
        <v>59.095657000000003</v>
      </c>
    </row>
    <row r="743" spans="2:4" x14ac:dyDescent="0.3">
      <c r="B743">
        <v>59.927405999999998</v>
      </c>
      <c r="C743">
        <v>2563745</v>
      </c>
      <c r="D743">
        <v>59.711151000000001</v>
      </c>
    </row>
    <row r="744" spans="2:4" x14ac:dyDescent="0.3">
      <c r="B744">
        <v>58.962578000000001</v>
      </c>
      <c r="C744">
        <v>2258214</v>
      </c>
      <c r="D744">
        <v>58.787909999999997</v>
      </c>
    </row>
    <row r="745" spans="2:4" x14ac:dyDescent="0.3">
      <c r="B745">
        <v>60.276736999999997</v>
      </c>
      <c r="C745">
        <v>1509429</v>
      </c>
      <c r="D745">
        <v>59.968989999999998</v>
      </c>
    </row>
    <row r="746" spans="2:4" x14ac:dyDescent="0.3">
      <c r="B746">
        <v>60.883915000000002</v>
      </c>
      <c r="C746">
        <v>2097118</v>
      </c>
      <c r="D746">
        <v>60.642707999999999</v>
      </c>
    </row>
    <row r="747" spans="2:4" x14ac:dyDescent="0.3">
      <c r="B747">
        <v>60.717564000000003</v>
      </c>
      <c r="C747">
        <v>1867214</v>
      </c>
      <c r="D747">
        <v>60.842326999999997</v>
      </c>
    </row>
    <row r="748" spans="2:4" x14ac:dyDescent="0.3">
      <c r="B748">
        <v>59.752738999999998</v>
      </c>
      <c r="C748">
        <v>1928444</v>
      </c>
      <c r="D748">
        <v>60.226832999999999</v>
      </c>
    </row>
    <row r="749" spans="2:4" x14ac:dyDescent="0.3">
      <c r="B749">
        <v>59.761054999999999</v>
      </c>
      <c r="C749">
        <v>3685711</v>
      </c>
      <c r="D749">
        <v>59.885818</v>
      </c>
    </row>
    <row r="750" spans="2:4" x14ac:dyDescent="0.3">
      <c r="B750">
        <v>60.717564000000003</v>
      </c>
      <c r="C750">
        <v>2903776</v>
      </c>
      <c r="D750">
        <v>60.426453000000002</v>
      </c>
    </row>
    <row r="751" spans="2:4" x14ac:dyDescent="0.3">
      <c r="B751">
        <v>61.091850000000001</v>
      </c>
      <c r="C751">
        <v>6135921</v>
      </c>
      <c r="D751">
        <v>60.509627999999999</v>
      </c>
    </row>
    <row r="752" spans="2:4" x14ac:dyDescent="0.3">
      <c r="B752">
        <v>59.885818</v>
      </c>
      <c r="C752">
        <v>5357448</v>
      </c>
      <c r="D752">
        <v>59.885818</v>
      </c>
    </row>
    <row r="753" spans="2:4" x14ac:dyDescent="0.3">
      <c r="B753">
        <v>58.214005</v>
      </c>
      <c r="C753">
        <v>9224126</v>
      </c>
      <c r="D753">
        <v>58.929310000000001</v>
      </c>
    </row>
    <row r="754" spans="2:4" x14ac:dyDescent="0.3">
      <c r="B754">
        <v>56.808352999999997</v>
      </c>
      <c r="C754">
        <v>9696207</v>
      </c>
      <c r="D754">
        <v>56.142955999999998</v>
      </c>
    </row>
    <row r="755" spans="2:4" x14ac:dyDescent="0.3">
      <c r="B755">
        <v>57.182636000000002</v>
      </c>
      <c r="C755">
        <v>3871022</v>
      </c>
      <c r="D755">
        <v>56.725178</v>
      </c>
    </row>
    <row r="756" spans="2:4" x14ac:dyDescent="0.3">
      <c r="B756">
        <v>57.473751</v>
      </c>
      <c r="C756">
        <v>3075877</v>
      </c>
      <c r="D756">
        <v>57.207588000000001</v>
      </c>
    </row>
    <row r="757" spans="2:4" x14ac:dyDescent="0.3">
      <c r="B757">
        <v>56.018191999999999</v>
      </c>
      <c r="C757">
        <v>2710149</v>
      </c>
      <c r="D757">
        <v>56.392479000000002</v>
      </c>
    </row>
    <row r="758" spans="2:4" x14ac:dyDescent="0.3">
      <c r="B758">
        <v>55.643906000000001</v>
      </c>
      <c r="C758">
        <v>6269744</v>
      </c>
      <c r="D758">
        <v>55.535778000000001</v>
      </c>
    </row>
    <row r="759" spans="2:4" x14ac:dyDescent="0.3">
      <c r="B759">
        <v>52.732787999999999</v>
      </c>
      <c r="C759">
        <v>5357639</v>
      </c>
      <c r="D759">
        <v>53.797423999999999</v>
      </c>
    </row>
    <row r="760" spans="2:4" x14ac:dyDescent="0.3">
      <c r="B760">
        <v>54.146759000000003</v>
      </c>
      <c r="C760">
        <v>3602042</v>
      </c>
      <c r="D760">
        <v>53.855648000000002</v>
      </c>
    </row>
    <row r="761" spans="2:4" x14ac:dyDescent="0.3">
      <c r="B761">
        <v>55.727080999999998</v>
      </c>
      <c r="C761">
        <v>3749514</v>
      </c>
      <c r="D761">
        <v>55.42765</v>
      </c>
    </row>
    <row r="762" spans="2:4" x14ac:dyDescent="0.3">
      <c r="B762">
        <v>54.387965999999999</v>
      </c>
      <c r="C762">
        <v>2668396</v>
      </c>
      <c r="D762">
        <v>53.997044000000002</v>
      </c>
    </row>
    <row r="763" spans="2:4" x14ac:dyDescent="0.3">
      <c r="B763">
        <v>54.105170999999999</v>
      </c>
      <c r="C763">
        <v>3181500</v>
      </c>
      <c r="D763">
        <v>54.396281999999999</v>
      </c>
    </row>
    <row r="764" spans="2:4" x14ac:dyDescent="0.3">
      <c r="B764">
        <v>54.479458000000001</v>
      </c>
      <c r="C764">
        <v>3092765</v>
      </c>
      <c r="D764">
        <v>54.146759000000003</v>
      </c>
    </row>
    <row r="765" spans="2:4" x14ac:dyDescent="0.3">
      <c r="B765">
        <v>54.321426000000002</v>
      </c>
      <c r="C765">
        <v>2297830</v>
      </c>
      <c r="D765">
        <v>54.188347</v>
      </c>
    </row>
    <row r="766" spans="2:4" x14ac:dyDescent="0.3">
      <c r="B766">
        <v>55.228031000000001</v>
      </c>
      <c r="C766">
        <v>5326875</v>
      </c>
      <c r="D766">
        <v>54.820476999999997</v>
      </c>
    </row>
    <row r="767" spans="2:4" x14ac:dyDescent="0.3">
      <c r="B767">
        <v>56.392479000000002</v>
      </c>
      <c r="C767">
        <v>2579395</v>
      </c>
      <c r="D767">
        <v>56.766765999999997</v>
      </c>
    </row>
    <row r="768" spans="2:4" x14ac:dyDescent="0.3">
      <c r="B768">
        <v>56.558826000000003</v>
      </c>
      <c r="C768">
        <v>2865301</v>
      </c>
      <c r="D768">
        <v>56.059780000000003</v>
      </c>
    </row>
    <row r="769" spans="2:4" x14ac:dyDescent="0.3">
      <c r="B769">
        <v>56.974701000000003</v>
      </c>
      <c r="C769">
        <v>3170886</v>
      </c>
      <c r="D769">
        <v>57.141052000000002</v>
      </c>
    </row>
    <row r="770" spans="2:4" x14ac:dyDescent="0.3">
      <c r="B770">
        <v>57.299084000000001</v>
      </c>
      <c r="C770">
        <v>2048067</v>
      </c>
      <c r="D770">
        <v>56.650317999999999</v>
      </c>
    </row>
    <row r="771" spans="2:4" x14ac:dyDescent="0.3">
      <c r="B771">
        <v>57.764862000000001</v>
      </c>
      <c r="C771">
        <v>1837698</v>
      </c>
      <c r="D771">
        <v>57.764862000000001</v>
      </c>
    </row>
    <row r="772" spans="2:4" x14ac:dyDescent="0.3">
      <c r="B772">
        <v>56.392479000000002</v>
      </c>
      <c r="C772">
        <v>1902369</v>
      </c>
      <c r="D772">
        <v>56.816668999999997</v>
      </c>
    </row>
    <row r="773" spans="2:4" x14ac:dyDescent="0.3">
      <c r="B773">
        <v>56.142955999999998</v>
      </c>
      <c r="C773">
        <v>8617335</v>
      </c>
      <c r="D773">
        <v>56.558826000000003</v>
      </c>
    </row>
    <row r="774" spans="2:4" x14ac:dyDescent="0.3">
      <c r="B774">
        <v>57.390574999999998</v>
      </c>
      <c r="C774">
        <v>4813714</v>
      </c>
      <c r="D774">
        <v>57.556922999999998</v>
      </c>
    </row>
    <row r="775" spans="2:4" x14ac:dyDescent="0.3">
      <c r="B775">
        <v>56.018191999999999</v>
      </c>
      <c r="C775">
        <v>2371116</v>
      </c>
      <c r="D775">
        <v>56.858257000000002</v>
      </c>
    </row>
    <row r="776" spans="2:4" x14ac:dyDescent="0.3">
      <c r="B776">
        <v>55.851841</v>
      </c>
      <c r="C776">
        <v>2769220</v>
      </c>
      <c r="D776">
        <v>55.494190000000003</v>
      </c>
    </row>
    <row r="777" spans="2:4" x14ac:dyDescent="0.3">
      <c r="B777">
        <v>57.473751</v>
      </c>
      <c r="C777">
        <v>2166995</v>
      </c>
      <c r="D777">
        <v>57.548606999999997</v>
      </c>
    </row>
    <row r="778" spans="2:4" x14ac:dyDescent="0.3">
      <c r="B778">
        <v>57.79813</v>
      </c>
      <c r="C778">
        <v>1657357</v>
      </c>
      <c r="D778">
        <v>57.598511000000002</v>
      </c>
    </row>
    <row r="779" spans="2:4" x14ac:dyDescent="0.3">
      <c r="B779">
        <v>57.398890999999999</v>
      </c>
      <c r="C779">
        <v>2292467</v>
      </c>
      <c r="D779">
        <v>57.141052000000002</v>
      </c>
    </row>
    <row r="780" spans="2:4" x14ac:dyDescent="0.3">
      <c r="B780">
        <v>58.846133999999999</v>
      </c>
      <c r="C780">
        <v>2187043</v>
      </c>
      <c r="D780">
        <v>58.887718</v>
      </c>
    </row>
    <row r="781" spans="2:4" x14ac:dyDescent="0.3">
      <c r="B781">
        <v>58.513435000000001</v>
      </c>
      <c r="C781">
        <v>4055452</v>
      </c>
      <c r="D781">
        <v>58.721370999999998</v>
      </c>
    </row>
    <row r="782" spans="2:4" x14ac:dyDescent="0.3">
      <c r="B782">
        <v>59.802643000000003</v>
      </c>
      <c r="C782">
        <v>2461057</v>
      </c>
      <c r="D782">
        <v>60.127026000000001</v>
      </c>
    </row>
    <row r="783" spans="2:4" x14ac:dyDescent="0.3">
      <c r="B783">
        <v>60.102074000000002</v>
      </c>
      <c r="C783">
        <v>3787064</v>
      </c>
      <c r="D783">
        <v>59.802643000000003</v>
      </c>
    </row>
    <row r="784" spans="2:4" x14ac:dyDescent="0.3">
      <c r="B784">
        <v>61.466137000000003</v>
      </c>
      <c r="C784">
        <v>3818328</v>
      </c>
      <c r="D784">
        <v>61.175026000000003</v>
      </c>
    </row>
    <row r="785" spans="2:4" x14ac:dyDescent="0.3">
      <c r="B785">
        <v>61.540996999999997</v>
      </c>
      <c r="C785">
        <v>1258285</v>
      </c>
      <c r="D785">
        <v>61.391280999999999</v>
      </c>
    </row>
    <row r="786" spans="2:4" x14ac:dyDescent="0.3">
      <c r="B786">
        <v>60.717564000000003</v>
      </c>
      <c r="C786">
        <v>3161898</v>
      </c>
      <c r="D786">
        <v>61.133437999999998</v>
      </c>
    </row>
    <row r="787" spans="2:4" x14ac:dyDescent="0.3">
      <c r="B787">
        <v>59.719467000000002</v>
      </c>
      <c r="C787">
        <v>2421032</v>
      </c>
      <c r="D787">
        <v>60.077117999999999</v>
      </c>
    </row>
    <row r="788" spans="2:4" x14ac:dyDescent="0.3">
      <c r="B788">
        <v>59.719467000000002</v>
      </c>
      <c r="C788">
        <v>2861259</v>
      </c>
      <c r="D788">
        <v>59.594707</v>
      </c>
    </row>
    <row r="789" spans="2:4" x14ac:dyDescent="0.3">
      <c r="B789">
        <v>60.168610000000001</v>
      </c>
      <c r="C789">
        <v>2290547</v>
      </c>
      <c r="D789">
        <v>59.927405999999998</v>
      </c>
    </row>
    <row r="790" spans="2:4" x14ac:dyDescent="0.3">
      <c r="B790">
        <v>60.135342000000001</v>
      </c>
      <c r="C790">
        <v>1568722</v>
      </c>
      <c r="D790">
        <v>60.093753999999997</v>
      </c>
    </row>
    <row r="791" spans="2:4" x14ac:dyDescent="0.3">
      <c r="B791">
        <v>60.052166</v>
      </c>
      <c r="C791">
        <v>2513393</v>
      </c>
      <c r="D791">
        <v>60.093753999999997</v>
      </c>
    </row>
    <row r="792" spans="2:4" x14ac:dyDescent="0.3">
      <c r="B792">
        <v>59.270325</v>
      </c>
      <c r="C792">
        <v>2830969</v>
      </c>
      <c r="D792">
        <v>59.395083999999997</v>
      </c>
    </row>
    <row r="793" spans="2:4" x14ac:dyDescent="0.3">
      <c r="B793">
        <v>58.413623999999999</v>
      </c>
      <c r="C793">
        <v>3057853</v>
      </c>
      <c r="D793">
        <v>58.787909999999997</v>
      </c>
    </row>
    <row r="794" spans="2:4" x14ac:dyDescent="0.3">
      <c r="B794">
        <v>57.390574999999998</v>
      </c>
      <c r="C794">
        <v>3321084</v>
      </c>
      <c r="D794">
        <v>57.939529</v>
      </c>
    </row>
    <row r="795" spans="2:4" x14ac:dyDescent="0.3">
      <c r="B795">
        <v>57.681685999999999</v>
      </c>
      <c r="C795">
        <v>2144274</v>
      </c>
      <c r="D795">
        <v>57.423842999999998</v>
      </c>
    </row>
    <row r="796" spans="2:4" x14ac:dyDescent="0.3">
      <c r="B796">
        <v>57.598511000000002</v>
      </c>
      <c r="C796">
        <v>3168963</v>
      </c>
      <c r="D796">
        <v>57.681685999999999</v>
      </c>
    </row>
    <row r="797" spans="2:4" x14ac:dyDescent="0.3">
      <c r="B797">
        <v>59.203785000000003</v>
      </c>
      <c r="C797">
        <v>3191525</v>
      </c>
      <c r="D797">
        <v>58.846133999999999</v>
      </c>
    </row>
    <row r="798" spans="2:4" x14ac:dyDescent="0.3">
      <c r="B798">
        <v>59.212100999999997</v>
      </c>
      <c r="C798">
        <v>2218007</v>
      </c>
      <c r="D798">
        <v>58.762959000000002</v>
      </c>
    </row>
    <row r="799" spans="2:4" x14ac:dyDescent="0.3">
      <c r="B799">
        <v>58.396988</v>
      </c>
      <c r="C799">
        <v>4070554</v>
      </c>
      <c r="D799">
        <v>58.172417000000003</v>
      </c>
    </row>
    <row r="800" spans="2:4" x14ac:dyDescent="0.3">
      <c r="B800">
        <v>57.972797</v>
      </c>
      <c r="C800">
        <v>2514557</v>
      </c>
      <c r="D800">
        <v>57.814765999999999</v>
      </c>
    </row>
    <row r="801" spans="2:4" x14ac:dyDescent="0.3">
      <c r="B801">
        <v>57.141052000000002</v>
      </c>
      <c r="C801">
        <v>2473970</v>
      </c>
      <c r="D801">
        <v>57.099463999999998</v>
      </c>
    </row>
    <row r="802" spans="2:4" x14ac:dyDescent="0.3">
      <c r="B802">
        <v>57.182636000000002</v>
      </c>
      <c r="C802">
        <v>1991977</v>
      </c>
      <c r="D802">
        <v>57.706637999999998</v>
      </c>
    </row>
    <row r="803" spans="2:4" x14ac:dyDescent="0.3">
      <c r="B803">
        <v>57.806449999999998</v>
      </c>
      <c r="C803">
        <v>2400098</v>
      </c>
      <c r="D803">
        <v>57.806449999999998</v>
      </c>
    </row>
    <row r="804" spans="2:4" x14ac:dyDescent="0.3">
      <c r="B804">
        <v>57.390574999999998</v>
      </c>
      <c r="C804">
        <v>2296649</v>
      </c>
      <c r="D804">
        <v>57.290764000000003</v>
      </c>
    </row>
    <row r="805" spans="2:4" x14ac:dyDescent="0.3">
      <c r="B805">
        <v>56.517238999999996</v>
      </c>
      <c r="C805">
        <v>2158008</v>
      </c>
      <c r="D805">
        <v>56.558826000000003</v>
      </c>
    </row>
    <row r="806" spans="2:4" x14ac:dyDescent="0.3">
      <c r="B806">
        <v>56.059780000000003</v>
      </c>
      <c r="C806">
        <v>2693321</v>
      </c>
      <c r="D806">
        <v>56.226128000000003</v>
      </c>
    </row>
    <row r="807" spans="2:4" x14ac:dyDescent="0.3">
      <c r="B807">
        <v>56.434066999999999</v>
      </c>
      <c r="C807">
        <v>2462568</v>
      </c>
      <c r="D807">
        <v>56.558826000000003</v>
      </c>
    </row>
    <row r="808" spans="2:4" x14ac:dyDescent="0.3">
      <c r="B808">
        <v>56.059780000000003</v>
      </c>
      <c r="C808">
        <v>3563611</v>
      </c>
      <c r="D808">
        <v>55.935017000000002</v>
      </c>
    </row>
    <row r="809" spans="2:4" x14ac:dyDescent="0.3">
      <c r="B809">
        <v>55.153174999999997</v>
      </c>
      <c r="C809">
        <v>3718362</v>
      </c>
      <c r="D809">
        <v>55.178127000000003</v>
      </c>
    </row>
    <row r="810" spans="2:4" x14ac:dyDescent="0.3">
      <c r="B810">
        <v>56.059780000000003</v>
      </c>
      <c r="C810">
        <v>4379563</v>
      </c>
      <c r="D810">
        <v>55.178127000000003</v>
      </c>
    </row>
    <row r="811" spans="2:4" x14ac:dyDescent="0.3">
      <c r="B811">
        <v>56.142955999999998</v>
      </c>
      <c r="C811">
        <v>2498542</v>
      </c>
      <c r="D811">
        <v>55.935017000000002</v>
      </c>
    </row>
    <row r="812" spans="2:4" x14ac:dyDescent="0.3">
      <c r="B812">
        <v>55.552413999999999</v>
      </c>
      <c r="C812">
        <v>2549142</v>
      </c>
      <c r="D812">
        <v>55.710445</v>
      </c>
    </row>
    <row r="813" spans="2:4" x14ac:dyDescent="0.3">
      <c r="B813">
        <v>55.460921999999997</v>
      </c>
      <c r="C813">
        <v>3146174</v>
      </c>
      <c r="D813">
        <v>55.56073</v>
      </c>
    </row>
    <row r="814" spans="2:4" x14ac:dyDescent="0.3">
      <c r="B814">
        <v>54.587584999999997</v>
      </c>
      <c r="C814">
        <v>2357708</v>
      </c>
      <c r="D814">
        <v>54.521045999999998</v>
      </c>
    </row>
    <row r="815" spans="2:4" x14ac:dyDescent="0.3">
      <c r="B815">
        <v>55.327843000000001</v>
      </c>
      <c r="C815">
        <v>2252549</v>
      </c>
      <c r="D815">
        <v>55.56073</v>
      </c>
    </row>
    <row r="816" spans="2:4" x14ac:dyDescent="0.3">
      <c r="B816">
        <v>55.685493000000001</v>
      </c>
      <c r="C816">
        <v>3204339</v>
      </c>
      <c r="D816">
        <v>55.56073</v>
      </c>
    </row>
    <row r="817" spans="2:4" x14ac:dyDescent="0.3">
      <c r="B817">
        <v>56.617049999999999</v>
      </c>
      <c r="C817">
        <v>4505625</v>
      </c>
      <c r="D817">
        <v>56.558826000000003</v>
      </c>
    </row>
    <row r="818" spans="2:4" x14ac:dyDescent="0.3">
      <c r="B818">
        <v>59.137245</v>
      </c>
      <c r="C818">
        <v>8996793</v>
      </c>
      <c r="D818">
        <v>59.012481999999999</v>
      </c>
    </row>
    <row r="819" spans="2:4" x14ac:dyDescent="0.3">
      <c r="B819">
        <v>61.590899999999998</v>
      </c>
      <c r="C819">
        <v>7217536</v>
      </c>
      <c r="D819">
        <v>60.917183000000001</v>
      </c>
    </row>
    <row r="820" spans="2:4" x14ac:dyDescent="0.3">
      <c r="B820">
        <v>59.927405999999998</v>
      </c>
      <c r="C820">
        <v>2097392</v>
      </c>
      <c r="D820">
        <v>60.077117999999999</v>
      </c>
    </row>
    <row r="821" spans="2:4" x14ac:dyDescent="0.3">
      <c r="B821">
        <v>58.762959000000002</v>
      </c>
      <c r="C821">
        <v>2228018</v>
      </c>
      <c r="D821">
        <v>58.887718</v>
      </c>
    </row>
    <row r="822" spans="2:4" x14ac:dyDescent="0.3">
      <c r="B822">
        <v>60.675975999999999</v>
      </c>
      <c r="C822">
        <v>1989887</v>
      </c>
      <c r="D822">
        <v>60.226832999999999</v>
      </c>
    </row>
    <row r="823" spans="2:4" x14ac:dyDescent="0.3">
      <c r="B823">
        <v>60.218516999999999</v>
      </c>
      <c r="C823">
        <v>2696100</v>
      </c>
      <c r="D823">
        <v>60.035533999999998</v>
      </c>
    </row>
    <row r="824" spans="2:4" x14ac:dyDescent="0.3">
      <c r="B824">
        <v>60.035533999999998</v>
      </c>
      <c r="C824">
        <v>0</v>
      </c>
      <c r="D824">
        <v>60.035533999999998</v>
      </c>
    </row>
    <row r="825" spans="2:4" x14ac:dyDescent="0.3">
      <c r="B825">
        <v>60.717564000000003</v>
      </c>
      <c r="C825">
        <v>2932825</v>
      </c>
      <c r="D825">
        <v>60.276736999999997</v>
      </c>
    </row>
    <row r="826" spans="2:4" x14ac:dyDescent="0.3">
      <c r="B826">
        <v>60.925502999999999</v>
      </c>
      <c r="C826">
        <v>2576998</v>
      </c>
      <c r="D826">
        <v>60.717564000000003</v>
      </c>
    </row>
    <row r="827" spans="2:4" x14ac:dyDescent="0.3">
      <c r="B827">
        <v>62.705441</v>
      </c>
      <c r="C827">
        <v>3733826</v>
      </c>
      <c r="D827">
        <v>62.040042999999997</v>
      </c>
    </row>
    <row r="828" spans="2:4" x14ac:dyDescent="0.3">
      <c r="B828">
        <v>64.543602000000007</v>
      </c>
      <c r="C828">
        <v>1612120</v>
      </c>
      <c r="D828">
        <v>63.711857000000002</v>
      </c>
    </row>
    <row r="829" spans="2:4" x14ac:dyDescent="0.3">
      <c r="B829">
        <v>63.711857000000002</v>
      </c>
      <c r="C829">
        <v>0</v>
      </c>
      <c r="D829">
        <v>63.711857000000002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09A4F6-593B-4A47-81CF-FB602296A6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Mercedes_Stock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TIRTH VIRANI</cp:lastModifiedBy>
  <dcterms:created xsi:type="dcterms:W3CDTF">2026-03-08T18:48:39Z</dcterms:created>
  <dcterms:modified xsi:type="dcterms:W3CDTF">2026-03-18T05:44:17Z</dcterms:modified>
</cp:coreProperties>
</file>